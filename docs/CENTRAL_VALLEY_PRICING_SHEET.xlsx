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jilaniwedgewoodinc-my.sharepoint.com/personal/tsmith_wedgewood-inc_com/Documents/Documents/Pricing Sheets/"/>
    </mc:Choice>
  </mc:AlternateContent>
  <xr:revisionPtr revIDLastSave="54" documentId="8_{3BC60EB3-97F1-467D-BE21-F682FB6D20F0}" xr6:coauthVersionLast="47" xr6:coauthVersionMax="47" xr10:uidLastSave="{FBF222C3-1EC7-4645-A407-240CB30E9E8E}"/>
  <bookViews>
    <workbookView xWindow="-28920" yWindow="75" windowWidth="29040" windowHeight="15720" xr2:uid="{FA93C8B7-AE42-4BF7-AEDB-0D073DB10799}"/>
  </bookViews>
  <sheets>
    <sheet name="Sheet2" sheetId="2" r:id="rId1"/>
    <sheet name="Agent Instructions" sheetId="6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0" i="2" l="1"/>
  <c r="K59" i="2"/>
  <c r="K90" i="2"/>
  <c r="K89" i="2"/>
  <c r="K11" i="2"/>
  <c r="K112" i="2"/>
  <c r="K111" i="2"/>
  <c r="K110" i="2"/>
  <c r="K107" i="2"/>
  <c r="K106" i="2"/>
  <c r="K104" i="2"/>
  <c r="K102" i="2"/>
  <c r="K101" i="2"/>
  <c r="K100" i="2"/>
  <c r="K99" i="2"/>
  <c r="K88" i="2"/>
  <c r="K87" i="2"/>
  <c r="K85" i="2"/>
  <c r="K84" i="2"/>
  <c r="K82" i="2"/>
  <c r="K81" i="2"/>
  <c r="K80" i="2"/>
  <c r="K78" i="2"/>
  <c r="K77" i="2"/>
  <c r="K76" i="2"/>
  <c r="K74" i="2"/>
  <c r="K73" i="2"/>
  <c r="K72" i="2"/>
  <c r="K67" i="2"/>
  <c r="K65" i="2"/>
  <c r="K62" i="2"/>
  <c r="K61" i="2"/>
  <c r="K58" i="2"/>
  <c r="K57" i="2"/>
  <c r="K56" i="2"/>
  <c r="K55" i="2"/>
  <c r="K50" i="2"/>
  <c r="K39" i="2"/>
  <c r="K38" i="2"/>
  <c r="K32" i="2"/>
  <c r="K31" i="2"/>
  <c r="K23" i="2"/>
  <c r="K22" i="2"/>
  <c r="K20" i="2"/>
  <c r="K16" i="2"/>
  <c r="K15" i="2"/>
  <c r="K14" i="2"/>
  <c r="K13" i="2"/>
  <c r="K12" i="2"/>
  <c r="K9" i="2"/>
  <c r="K8" i="2"/>
  <c r="K7" i="2"/>
  <c r="K116" i="2" l="1"/>
  <c r="K96" i="2"/>
  <c r="K47" i="2"/>
  <c r="K118" i="2" l="1"/>
</calcChain>
</file>

<file path=xl/sharedStrings.xml><?xml version="1.0" encoding="utf-8"?>
<sst xmlns="http://schemas.openxmlformats.org/spreadsheetml/2006/main" count="481" uniqueCount="240">
  <si>
    <t>Major Systems</t>
  </si>
  <si>
    <t>Septic System</t>
  </si>
  <si>
    <t>Sewer Line</t>
  </si>
  <si>
    <t>Roof</t>
  </si>
  <si>
    <t>Layover</t>
  </si>
  <si>
    <t>HVAC</t>
  </si>
  <si>
    <t>Furnace</t>
  </si>
  <si>
    <t>per sqft</t>
  </si>
  <si>
    <t>Water Heater</t>
  </si>
  <si>
    <t>Windows</t>
  </si>
  <si>
    <t>per window</t>
  </si>
  <si>
    <t>Slider</t>
  </si>
  <si>
    <t>per slider</t>
  </si>
  <si>
    <t>Plumbing fixtures</t>
  </si>
  <si>
    <t>Foundation</t>
  </si>
  <si>
    <t>tile</t>
  </si>
  <si>
    <t>Replaster</t>
  </si>
  <si>
    <t>New equipment</t>
  </si>
  <si>
    <t>Well</t>
  </si>
  <si>
    <t>Miscellaneous</t>
  </si>
  <si>
    <t>Plumbing Fixtures</t>
  </si>
  <si>
    <t>Appliances</t>
  </si>
  <si>
    <t>per house</t>
  </si>
  <si>
    <t>Garage</t>
  </si>
  <si>
    <t>Finishes</t>
  </si>
  <si>
    <t>per linear foot</t>
  </si>
  <si>
    <t>Kitchen</t>
  </si>
  <si>
    <t>Bathroom</t>
  </si>
  <si>
    <t>per bathroom</t>
  </si>
  <si>
    <t>per door</t>
  </si>
  <si>
    <t>Flooring</t>
  </si>
  <si>
    <t>Paint</t>
  </si>
  <si>
    <t>Cleaning</t>
  </si>
  <si>
    <t>Landscape</t>
  </si>
  <si>
    <t>Staging</t>
  </si>
  <si>
    <t>Fences</t>
  </si>
  <si>
    <t>paint</t>
  </si>
  <si>
    <t>SYSTEM</t>
  </si>
  <si>
    <t>Manual Entry</t>
  </si>
  <si>
    <t>Sewer line</t>
  </si>
  <si>
    <t>Tearoff</t>
  </si>
  <si>
    <t>per square</t>
  </si>
  <si>
    <t>Cert</t>
  </si>
  <si>
    <t>2 ton condenser</t>
  </si>
  <si>
    <t>3 ton condenser</t>
  </si>
  <si>
    <t>Duct work</t>
  </si>
  <si>
    <t>All new</t>
  </si>
  <si>
    <t>Electrical panel/system</t>
  </si>
  <si>
    <t>Replace (default)</t>
  </si>
  <si>
    <t>Plumbing System</t>
  </si>
  <si>
    <t>Siding/Stucco</t>
  </si>
  <si>
    <t>Chimney/fireplace</t>
  </si>
  <si>
    <t>Crawlspace/vapor barrier</t>
  </si>
  <si>
    <t>Termite</t>
  </si>
  <si>
    <t>Pool</t>
  </si>
  <si>
    <t>Spa</t>
  </si>
  <si>
    <t>Subtotal</t>
  </si>
  <si>
    <t>Doors/Hardware</t>
  </si>
  <si>
    <t>Bathroom renovation (default)</t>
  </si>
  <si>
    <t>per interior door</t>
  </si>
  <si>
    <t>Replace</t>
  </si>
  <si>
    <t>Paint (default)</t>
  </si>
  <si>
    <t>Front door (default)</t>
  </si>
  <si>
    <t>per front door</t>
  </si>
  <si>
    <t>Electrical fixtures</t>
  </si>
  <si>
    <t>Change all in house</t>
  </si>
  <si>
    <t>per bedroom</t>
  </si>
  <si>
    <t>Add bedroom lighting</t>
  </si>
  <si>
    <t>Dog ear</t>
  </si>
  <si>
    <t>LVP/base</t>
  </si>
  <si>
    <t>Framing/Drywall</t>
  </si>
  <si>
    <t>Default?</t>
  </si>
  <si>
    <t>no</t>
  </si>
  <si>
    <t>yes</t>
  </si>
  <si>
    <t>single car garage door</t>
  </si>
  <si>
    <t>two car garage door</t>
  </si>
  <si>
    <t>new motor</t>
  </si>
  <si>
    <t>per garage</t>
  </si>
  <si>
    <t>countertops</t>
  </si>
  <si>
    <t>locks/trash out/demo</t>
  </si>
  <si>
    <t>Standard</t>
  </si>
  <si>
    <t>Medium</t>
  </si>
  <si>
    <t>Heavy</t>
  </si>
  <si>
    <t>Materials</t>
  </si>
  <si>
    <t>Int</t>
  </si>
  <si>
    <t>Ext</t>
  </si>
  <si>
    <t>All new no fridge</t>
  </si>
  <si>
    <t>All new w/fridge</t>
  </si>
  <si>
    <t>36" range w/fridge</t>
  </si>
  <si>
    <t>48" range w/fridge</t>
  </si>
  <si>
    <t>Cheap</t>
  </si>
  <si>
    <t>High end</t>
  </si>
  <si>
    <t>E-stage</t>
  </si>
  <si>
    <t>full landscape</t>
  </si>
  <si>
    <t>Standard finish</t>
  </si>
  <si>
    <t>High end finish</t>
  </si>
  <si>
    <t>Change all hardware (default)</t>
  </si>
  <si>
    <t>Section</t>
  </si>
  <si>
    <t>Auto-Add?</t>
  </si>
  <si>
    <t>Qty Basis (agent solves)</t>
  </si>
  <si>
    <t>Qty</t>
  </si>
  <si>
    <t>Line Total</t>
  </si>
  <si>
    <t>roof squares (100 sqft)</t>
  </si>
  <si>
    <t>1 (flat per house)</t>
  </si>
  <si>
    <t>1 (flat)</t>
  </si>
  <si>
    <t># windows</t>
  </si>
  <si>
    <t># sliders</t>
  </si>
  <si>
    <t>General Rehab</t>
  </si>
  <si>
    <t># bathrooms</t>
  </si>
  <si>
    <t># interior doors</t>
  </si>
  <si>
    <t># front doors</t>
  </si>
  <si>
    <t># bedrooms</t>
  </si>
  <si>
    <t># linear feet</t>
  </si>
  <si>
    <t>square footage</t>
  </si>
  <si>
    <t># garage doors</t>
  </si>
  <si>
    <t># garages</t>
  </si>
  <si>
    <t>Major Systems Subtotal</t>
  </si>
  <si>
    <t>General Rehab Subtotal</t>
  </si>
  <si>
    <t>Finishes Subtotal</t>
  </si>
  <si>
    <t>GRAND TOTAL</t>
  </si>
  <si>
    <t>Roof - Tearoff</t>
  </si>
  <si>
    <t>Roof - Layover</t>
  </si>
  <si>
    <t>Roof - Cert</t>
  </si>
  <si>
    <t>HVAC - 2 ton condenser</t>
  </si>
  <si>
    <t>HVAC - 3 ton condenser</t>
  </si>
  <si>
    <t>HVAC - Furnace</t>
  </si>
  <si>
    <t>HVAC - Duct work</t>
  </si>
  <si>
    <t>HVAC - All new</t>
  </si>
  <si>
    <t>Windows - Slider</t>
  </si>
  <si>
    <t>Chimney/Fireplace - Paint</t>
  </si>
  <si>
    <t>Chimney/Fireplace - Tile</t>
  </si>
  <si>
    <t>Pool - Replaster</t>
  </si>
  <si>
    <t>Pool - New equipment</t>
  </si>
  <si>
    <t>Doors/Hardware - Change all hardware</t>
  </si>
  <si>
    <t>Doors/Hardware - Paint doors</t>
  </si>
  <si>
    <t>Doors/Hardware - Replace doors</t>
  </si>
  <si>
    <t>Doors/Hardware - Front door</t>
  </si>
  <si>
    <t>Electrical Fixtures - Change all in house</t>
  </si>
  <si>
    <t>Electrical Fixtures - Add bedroom lighting</t>
  </si>
  <si>
    <t>Fences - Dog ear</t>
  </si>
  <si>
    <t>Flooring - LVP/base</t>
  </si>
  <si>
    <t>Garage - Single car door</t>
  </si>
  <si>
    <t>Garage - Two car door</t>
  </si>
  <si>
    <t>Garage - New motor</t>
  </si>
  <si>
    <t>Kitchen - All new</t>
  </si>
  <si>
    <t>Kitchen - Countertops</t>
  </si>
  <si>
    <t>Kitchen - Paint</t>
  </si>
  <si>
    <t>Locks/Trash Out/Demo - Standard</t>
  </si>
  <si>
    <t>Locks/Trash Out/Demo - Medium</t>
  </si>
  <si>
    <t>Locks/Trash Out/Demo - Heavy</t>
  </si>
  <si>
    <t>Materials - High end finish</t>
  </si>
  <si>
    <t>Materials - Standard finish</t>
  </si>
  <si>
    <t>Paint - Interior</t>
  </si>
  <si>
    <t>Paint - Exterior</t>
  </si>
  <si>
    <t>Appliances - All new no fridge</t>
  </si>
  <si>
    <t>Appliances - All new w/fridge</t>
  </si>
  <si>
    <t>Appliances - 36" range w/fridge</t>
  </si>
  <si>
    <t>Appliances - 48" range w/fridge</t>
  </si>
  <si>
    <t>Landscape - Full landscape</t>
  </si>
  <si>
    <t>Landscape - Irrigation/plants</t>
  </si>
  <si>
    <t>Staging - Cheap</t>
  </si>
  <si>
    <t>Staging - High end</t>
  </si>
  <si>
    <t>Staging - E-stage</t>
  </si>
  <si>
    <t>Electrical Panel/System</t>
  </si>
  <si>
    <t>Crawlspace/Vapor Barrier</t>
  </si>
  <si>
    <t>Miscellaneous (Major/General)</t>
  </si>
  <si>
    <t>MajSubtotal</t>
  </si>
  <si>
    <t>GenSubtotal</t>
  </si>
  <si>
    <t>FinSubtotal</t>
  </si>
  <si>
    <t>GrandTotal</t>
  </si>
  <si>
    <t>AGENT INSTRUCTIONS - Renovation Pricing Sheet (Sheet2)</t>
  </si>
  <si>
    <t>MODE: READ-ONLY. The agent does NOT write to the workbook. It reads Sheet2 and performs its own math, then fills the Budget Template PDF.</t>
  </si>
  <si>
    <t xml:space="preserve"> </t>
  </si>
  <si>
    <t>== WHERE THE DATA IS ==</t>
  </si>
  <si>
    <t>All line items are in Sheet2, columns B-L. Read every row top to bottom.</t>
  </si>
  <si>
    <t>Col B = System header (e.g., HVAC, Roof). Col C = Item/option. Col D = Default? (yes/no).</t>
  </si>
  <si>
    <t>Col E = Unit price (number) OR "Manual Entry". Col F = Unit basis (per sqft, per window, etc.).</t>
  </si>
  <si>
    <t>Col G = Section (Major Systems / General Rehab / Finishes). Col I = Qty Basis (what to solve for).</t>
  </si>
  <si>
    <t>Col K = Line Total formula (reference only). Col L = PDF Field Name (exact label to write into the PDF).</t>
  </si>
  <si>
    <t>== CORE RULES (apply in order) ==</t>
  </si>
  <si>
    <t>1) INCLUDE a line ONLY if Col D = "yes". If D = "no", skip it UNLESS the user explicitly opts in.</t>
  </si>
  <si>
    <t>2) COMPUTE each included line: Line Total = Col E (price) x Quantity. Get Quantity from Col I (Qty Basis).</t>
  </si>
  <si>
    <t xml:space="preserve">   - "1 (flat)" / "1 (flat per house)"  -&gt; Quantity = 1.</t>
  </si>
  <si>
    <t xml:space="preserve">   - "square footage" -&gt; Quantity = property living sqft (you already know it).</t>
  </si>
  <si>
    <t xml:space="preserve">   - "# windows / # bathrooms / # interior doors / # garage doors / # bedrooms / # linear feet / roof squares" -&gt; use that count.</t>
  </si>
  <si>
    <t>3) FIND quantities from public property data (sqft, bed/bath, etc.). If a value cannot be found, prompt the user.</t>
  </si>
  <si>
    <t>4) PICK-ONE GROUPS: include only ONE option; never add multiple within the same system. Groups:</t>
  </si>
  <si>
    <t xml:space="preserve">   - HVAC (rows 11-16): ALWAYS PROMPT the user to pick one (no default set).</t>
  </si>
  <si>
    <t xml:space="preserve">   - Roof (7-9), Appliances (90-93), Kitchen (70-72), Locks/Trash/Demo (74-76), Materials (78-79), Staging (100-102), Flooring (61-62): pick one.</t>
  </si>
  <si>
    <t xml:space="preserve">   - If user chooses a non-default option, use THAT option only and ignore the "yes" default in that group.</t>
  </si>
  <si>
    <t>5) MANUAL ENTRY rows (Col E = "Manual Entry"): no preset price. If the item applies, PROMPT the user for a dollar amount (Quantity = 1).</t>
  </si>
  <si>
    <t>== TOTALS (agent computes) ==</t>
  </si>
  <si>
    <t>MajSubtotal = sum of included Major Systems line totals (Sheet2 reference cell K46).</t>
  </si>
  <si>
    <t>GenSubtotal = sum of included General Rehab line totals (reference cell K87).</t>
  </si>
  <si>
    <t>FinSubtotal = sum of included Finishes line totals (reference cell K106).</t>
  </si>
  <si>
    <t>GrandTotal  = MajSubtotal + GenSubtotal + FinSubtotal (reference cell K108).</t>
  </si>
  <si>
    <t>NOTE: Sheet2 K cells only reflect flat items where Qty is pre-filled. For per-sqft/per-unit lines the agent must compute and add its own amounts.</t>
  </si>
  <si>
    <t>== FILLING THE PDF ==</t>
  </si>
  <si>
    <t>For each included line, write its computed Line Total into the PDF Amount field that matches Col L (PDF Field Name).</t>
  </si>
  <si>
    <t>Write the four totals into PDF fields: MajSubtotal, GenSubtotal, FinSubtotal, GrandTotal.</t>
  </si>
  <si>
    <t>== DO NOT ==</t>
  </si>
  <si>
    <t>- Do not include more than one option in a pick-one group.</t>
  </si>
  <si>
    <t>- Do not include "no" rows unless the user opts in.</t>
  </si>
  <si>
    <t>- Do not invent prices for Manual Entry rows - always ask.</t>
  </si>
  <si>
    <t>- Do not rely solely on Sheet2 Col K for per-sqft/per-unit lines (Qty is blank there); compute those yourself.</t>
  </si>
  <si>
    <t>== SUMMARY BEFORE FINALIZING ==</t>
  </si>
  <si>
    <t>Show the user: included items, quantity used, each line total, the three subtotals, and the grand total - for confirmation before writing the PDF.</t>
  </si>
  <si>
    <t>LEGEND</t>
  </si>
  <si>
    <t>Auto-add (Default = yes)</t>
  </si>
  <si>
    <t>Prompt user (Default = no)</t>
  </si>
  <si>
    <t>Manual Entry (ask for price)</t>
  </si>
  <si>
    <t>System header</t>
  </si>
  <si>
    <t>Grand Total</t>
  </si>
  <si>
    <t>service</t>
  </si>
  <si>
    <t>HVAC - service</t>
  </si>
  <si>
    <t>cleanup</t>
  </si>
  <si>
    <t>Exterior lighting</t>
  </si>
  <si>
    <t>Texture</t>
  </si>
  <si>
    <t>Mirrored sliders</t>
  </si>
  <si>
    <t>Startup</t>
  </si>
  <si>
    <t>Concrete work</t>
  </si>
  <si>
    <t>per sqft (manual)</t>
  </si>
  <si>
    <t>irrigation/plants/seed/cleanup</t>
  </si>
  <si>
    <t>Photos</t>
  </si>
  <si>
    <t>Carpet</t>
  </si>
  <si>
    <t>Custom bathroom</t>
  </si>
  <si>
    <t>Strategic bathroom</t>
  </si>
  <si>
    <t>Lights/mirrors</t>
  </si>
  <si>
    <t>Paint - Texture</t>
  </si>
  <si>
    <t>Popcorn scrape</t>
  </si>
  <si>
    <t>Custom Bathroom</t>
  </si>
  <si>
    <t>Strategic Bathroom</t>
  </si>
  <si>
    <t>Lighting/Mirror Package</t>
  </si>
  <si>
    <t>Pool - Startup</t>
  </si>
  <si>
    <t>Doors/Hardware - Mirrored sliders</t>
  </si>
  <si>
    <t>Electrical Fixtures - Exterior lighting</t>
  </si>
  <si>
    <t>Flooring - Carpet</t>
  </si>
  <si>
    <t>Miscellaneous - Concrete work</t>
  </si>
  <si>
    <t>Landscape - Cleanup</t>
  </si>
  <si>
    <t>Paint - Popcorn scrape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</si>
</sst>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_);[Red]\(&quot;$&quot;#,##0.0\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4E79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4" borderId="1" xfId="0" applyFont="1" applyFill="1" applyBorder="1"/>
    <xf numFmtId="6" fontId="4" fillId="3" borderId="1" xfId="0" applyNumberFormat="1" applyFont="1" applyFill="1" applyBorder="1"/>
    <xf numFmtId="6" fontId="5" fillId="4" borderId="1" xfId="0" applyNumberFormat="1" applyFont="1" applyFill="1" applyBorder="1"/>
    <xf numFmtId="0" fontId="5" fillId="5" borderId="1" xfId="0" applyFont="1" applyFill="1" applyBorder="1"/>
    <xf numFmtId="6" fontId="5" fillId="5" borderId="1" xfId="0" applyNumberFormat="1" applyFont="1" applyFill="1" applyBorder="1"/>
    <xf numFmtId="0" fontId="5" fillId="6" borderId="1" xfId="0" applyFont="1" applyFill="1" applyBorder="1"/>
    <xf numFmtId="6" fontId="5" fillId="6" borderId="1" xfId="0" applyNumberFormat="1" applyFont="1" applyFill="1" applyBorder="1"/>
    <xf numFmtId="0" fontId="3" fillId="7" borderId="1" xfId="0" applyFont="1" applyFill="1" applyBorder="1"/>
    <xf numFmtId="6" fontId="3" fillId="7" borderId="1" xfId="0" applyNumberFormat="1" applyFont="1" applyFill="1" applyBorder="1"/>
    <xf numFmtId="0" fontId="5" fillId="8" borderId="1" xfId="0" applyFont="1" applyFill="1" applyBorder="1"/>
    <xf numFmtId="6" fontId="5" fillId="8" borderId="1" xfId="0" applyNumberFormat="1" applyFont="1" applyFill="1" applyBorder="1"/>
    <xf numFmtId="0" fontId="6" fillId="9" borderId="1" xfId="0" applyFont="1" applyFill="1" applyBorder="1"/>
    <xf numFmtId="6" fontId="6" fillId="9" borderId="1" xfId="0" applyNumberFormat="1" applyFont="1" applyFill="1" applyBorder="1"/>
    <xf numFmtId="0" fontId="1" fillId="0" borderId="2" xfId="0" applyFont="1" applyBorder="1"/>
    <xf numFmtId="0" fontId="0" fillId="6" borderId="2" xfId="0" applyFill="1" applyBorder="1"/>
    <xf numFmtId="0" fontId="0" fillId="5" borderId="2" xfId="0" applyFill="1" applyBorder="1"/>
    <xf numFmtId="0" fontId="0" fillId="4" borderId="2" xfId="0" applyFill="1" applyBorder="1"/>
    <xf numFmtId="0" fontId="0" fillId="3" borderId="2" xfId="0" applyFill="1" applyBorder="1"/>
    <xf numFmtId="0" fontId="0" fillId="7" borderId="2" xfId="0" applyFill="1" applyBorder="1"/>
    <xf numFmtId="0" fontId="0" fillId="9" borderId="2" xfId="0" applyFill="1" applyBorder="1"/>
    <xf numFmtId="0" fontId="8" fillId="3" borderId="1" xfId="0" applyFont="1" applyFill="1" applyBorder="1"/>
    <xf numFmtId="6" fontId="8" fillId="3" borderId="1" xfId="0" applyNumberFormat="1" applyFont="1" applyFill="1" applyBorder="1"/>
    <xf numFmtId="0" fontId="3" fillId="2" borderId="2" xfId="0" applyFont="1" applyFill="1" applyBorder="1" applyAlignment="1">
      <alignment horizontal="center"/>
    </xf>
    <xf numFmtId="164" fontId="5" fillId="6" borderId="1" xfId="0" applyNumberFormat="1" applyFont="1" applyFill="1" applyBorder="1"/>
  </cellXfs>
  <cellStyles count="1">
    <cellStyle name="Normal" xfId="0" builtinId="0"/>
  </cellStyles>
  <dxfs count="3">
    <dxf>
      <font>
        <color rgb="FF000000"/>
      </font>
      <fill>
        <patternFill patternType="solid">
          <fgColor indexed="64"/>
          <bgColor rgb="FFFFE699"/>
        </patternFill>
      </fill>
    </dxf>
    <dxf>
      <font>
        <color rgb="FF000000"/>
      </font>
      <fill>
        <patternFill patternType="solid">
          <fgColor indexed="64"/>
          <bgColor rgb="FFC6E0B4"/>
        </patternFill>
      </fill>
    </dxf>
    <dxf>
      <font>
        <color rgb="FF000000"/>
      </font>
      <fill>
        <patternFill patternType="solid">
          <fgColor indexed="64"/>
          <bgColor rgb="FFF4B18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185C-EB8C-489B-983B-A5B987507754}">
  <dimension ref="A1:O118"/>
  <sheetViews>
    <sheetView tabSelected="1" zoomScale="70" zoomScaleNormal="70" workbookViewId="0">
      <pane ySplit="1" topLeftCell="A71" activePane="bottomLeft" state="frozen"/>
      <selection pane="bottomLeft" activeCell="O97" sqref="O97"/>
    </sheetView>
  </sheetViews>
  <sheetFormatPr defaultRowHeight="15" x14ac:dyDescent="0.25"/>
  <cols>
    <col min="3" max="3" width="30" bestFit="1" customWidth="1"/>
    <col min="4" max="4" width="29" customWidth="1"/>
    <col min="6" max="6" width="15.42578125" bestFit="1" customWidth="1"/>
    <col min="7" max="7" width="22" bestFit="1" customWidth="1"/>
    <col min="8" max="8" width="10.28515625" bestFit="1" customWidth="1"/>
    <col min="9" max="9" width="22.85546875" bestFit="1" customWidth="1"/>
    <col min="10" max="10" width="4.140625" bestFit="1" customWidth="1"/>
    <col min="11" max="11" width="13" bestFit="1" customWidth="1"/>
    <col min="12" max="12" width="37.7109375" bestFit="1" customWidth="1"/>
    <col min="14" max="14" width="38.140625" customWidth="1"/>
    <col min="15" max="15" width="5.7109375" customWidth="1"/>
  </cols>
  <sheetData>
    <row r="1" spans="1:15" x14ac:dyDescent="0.25">
      <c r="A1" s="4" t="s">
        <v>37</v>
      </c>
      <c r="B1" s="4"/>
      <c r="C1" s="4"/>
      <c r="D1" s="4" t="s">
        <v>71</v>
      </c>
      <c r="E1" s="4"/>
      <c r="F1" s="4"/>
      <c r="G1" s="4" t="s">
        <v>97</v>
      </c>
      <c r="H1" s="4" t="s">
        <v>98</v>
      </c>
      <c r="I1" s="4" t="s">
        <v>99</v>
      </c>
      <c r="J1" s="4" t="s">
        <v>100</v>
      </c>
      <c r="K1" s="4" t="s">
        <v>101</v>
      </c>
      <c r="L1" s="4"/>
      <c r="N1" s="28" t="s">
        <v>207</v>
      </c>
      <c r="O1" s="28"/>
    </row>
    <row r="2" spans="1:15" x14ac:dyDescent="0.25">
      <c r="A2" s="5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N2" s="19" t="s">
        <v>208</v>
      </c>
      <c r="O2" s="20"/>
    </row>
    <row r="3" spans="1:15" x14ac:dyDescent="0.25">
      <c r="A3" s="6"/>
      <c r="B3" s="6"/>
      <c r="C3" s="6"/>
      <c r="D3" s="6"/>
      <c r="E3" s="6" t="s">
        <v>38</v>
      </c>
      <c r="F3" s="6"/>
      <c r="G3" s="6"/>
      <c r="H3" s="6"/>
      <c r="I3" s="6"/>
      <c r="J3" s="6"/>
      <c r="K3" s="6"/>
      <c r="L3" s="6"/>
      <c r="N3" s="19" t="s">
        <v>209</v>
      </c>
      <c r="O3" s="21"/>
    </row>
    <row r="4" spans="1:15" x14ac:dyDescent="0.25">
      <c r="A4" s="5"/>
      <c r="B4" s="5" t="s">
        <v>39</v>
      </c>
      <c r="C4" s="5"/>
      <c r="D4" s="5"/>
      <c r="E4" s="5"/>
      <c r="F4" s="5"/>
      <c r="G4" s="5"/>
      <c r="H4" s="5"/>
      <c r="I4" s="5"/>
      <c r="J4" s="5"/>
      <c r="K4" s="7"/>
      <c r="L4" s="5"/>
      <c r="N4" s="19" t="s">
        <v>210</v>
      </c>
      <c r="O4" s="22"/>
    </row>
    <row r="5" spans="1:15" x14ac:dyDescent="0.25">
      <c r="A5" s="6"/>
      <c r="B5" s="6"/>
      <c r="C5" s="6"/>
      <c r="D5" s="6" t="s">
        <v>72</v>
      </c>
      <c r="E5" s="8" t="s">
        <v>38</v>
      </c>
      <c r="F5" s="6"/>
      <c r="G5" s="6"/>
      <c r="H5" s="6"/>
      <c r="I5" s="6"/>
      <c r="J5" s="6"/>
      <c r="K5" s="8"/>
      <c r="L5" s="6" t="s">
        <v>2</v>
      </c>
      <c r="N5" s="19" t="s">
        <v>211</v>
      </c>
      <c r="O5" s="23"/>
    </row>
    <row r="6" spans="1:15" x14ac:dyDescent="0.25">
      <c r="A6" s="5"/>
      <c r="B6" s="5" t="s">
        <v>3</v>
      </c>
      <c r="C6" s="5"/>
      <c r="D6" s="5"/>
      <c r="E6" s="5"/>
      <c r="F6" s="5"/>
      <c r="G6" s="5"/>
      <c r="H6" s="5"/>
      <c r="I6" s="5"/>
      <c r="J6" s="5"/>
      <c r="K6" s="7"/>
      <c r="L6" s="5"/>
      <c r="N6" s="19"/>
      <c r="O6" s="23"/>
    </row>
    <row r="7" spans="1:15" x14ac:dyDescent="0.25">
      <c r="A7" s="9"/>
      <c r="B7" s="9"/>
      <c r="C7" s="9" t="s">
        <v>40</v>
      </c>
      <c r="D7" s="9" t="s">
        <v>72</v>
      </c>
      <c r="E7" s="10">
        <v>550</v>
      </c>
      <c r="F7" s="9" t="s">
        <v>41</v>
      </c>
      <c r="G7" s="9" t="s">
        <v>0</v>
      </c>
      <c r="H7" s="9" t="b">
        <v>0</v>
      </c>
      <c r="I7" s="9" t="s">
        <v>102</v>
      </c>
      <c r="J7" s="9"/>
      <c r="K7" s="10" t="str">
        <f>IF($D7&lt;&gt;"yes","",IF($J7="","",$E7*$J7))</f>
        <v/>
      </c>
      <c r="L7" s="9" t="s">
        <v>120</v>
      </c>
      <c r="N7" s="19" t="s">
        <v>56</v>
      </c>
      <c r="O7" s="24"/>
    </row>
    <row r="8" spans="1:15" x14ac:dyDescent="0.25">
      <c r="A8" s="9"/>
      <c r="B8" s="9"/>
      <c r="C8" s="9" t="s">
        <v>4</v>
      </c>
      <c r="D8" s="9" t="s">
        <v>72</v>
      </c>
      <c r="E8" s="10">
        <v>375</v>
      </c>
      <c r="F8" s="9" t="s">
        <v>41</v>
      </c>
      <c r="G8" s="9" t="s">
        <v>0</v>
      </c>
      <c r="H8" s="9" t="b">
        <v>0</v>
      </c>
      <c r="I8" s="9" t="s">
        <v>102</v>
      </c>
      <c r="J8" s="9"/>
      <c r="K8" s="10" t="str">
        <f>IF($D8&lt;&gt;"yes","",IF($J8="","",$E8*$J8))</f>
        <v/>
      </c>
      <c r="L8" s="9" t="s">
        <v>121</v>
      </c>
      <c r="N8" s="19" t="s">
        <v>212</v>
      </c>
      <c r="O8" s="25"/>
    </row>
    <row r="9" spans="1:15" x14ac:dyDescent="0.25">
      <c r="A9" s="9"/>
      <c r="B9" s="9"/>
      <c r="C9" s="9" t="s">
        <v>42</v>
      </c>
      <c r="D9" s="9" t="s">
        <v>72</v>
      </c>
      <c r="E9" s="10">
        <v>500</v>
      </c>
      <c r="F9" s="9" t="s">
        <v>22</v>
      </c>
      <c r="G9" s="9" t="s">
        <v>0</v>
      </c>
      <c r="H9" s="9" t="b">
        <v>0</v>
      </c>
      <c r="I9" s="9" t="s">
        <v>103</v>
      </c>
      <c r="J9" s="9">
        <v>1</v>
      </c>
      <c r="K9" s="10" t="str">
        <f>IF($D9&lt;&gt;"yes","",IF($J9="","",$E9*$J9))</f>
        <v/>
      </c>
      <c r="L9" s="9" t="s">
        <v>122</v>
      </c>
    </row>
    <row r="10" spans="1:15" x14ac:dyDescent="0.25">
      <c r="A10" s="5"/>
      <c r="B10" s="5" t="s">
        <v>5</v>
      </c>
      <c r="C10" s="5"/>
      <c r="D10" s="5"/>
      <c r="E10" s="5"/>
      <c r="F10" s="5"/>
      <c r="G10" s="5"/>
      <c r="H10" s="5"/>
      <c r="I10" s="5"/>
      <c r="J10" s="5"/>
      <c r="K10" s="7"/>
      <c r="L10" s="5"/>
    </row>
    <row r="11" spans="1:15" x14ac:dyDescent="0.25">
      <c r="A11" s="9"/>
      <c r="B11" s="9"/>
      <c r="C11" s="9" t="s">
        <v>213</v>
      </c>
      <c r="D11" s="9" t="s">
        <v>72</v>
      </c>
      <c r="E11" s="10">
        <v>375</v>
      </c>
      <c r="F11" s="9"/>
      <c r="G11" s="9" t="s">
        <v>0</v>
      </c>
      <c r="H11" s="9" t="b">
        <v>0</v>
      </c>
      <c r="I11" s="9" t="s">
        <v>104</v>
      </c>
      <c r="J11" s="9">
        <v>1</v>
      </c>
      <c r="K11" s="10" t="str">
        <f>IF($D11&lt;&gt;"yes","",IF($J11="","",$E11*$J11))</f>
        <v/>
      </c>
      <c r="L11" s="9" t="s">
        <v>214</v>
      </c>
    </row>
    <row r="12" spans="1:15" x14ac:dyDescent="0.25">
      <c r="A12" s="9"/>
      <c r="B12" s="9"/>
      <c r="C12" s="9" t="s">
        <v>43</v>
      </c>
      <c r="D12" s="9" t="s">
        <v>72</v>
      </c>
      <c r="E12" s="10">
        <v>3500</v>
      </c>
      <c r="F12" s="9"/>
      <c r="G12" s="9" t="s">
        <v>0</v>
      </c>
      <c r="H12" s="9" t="b">
        <v>0</v>
      </c>
      <c r="I12" s="9" t="s">
        <v>104</v>
      </c>
      <c r="J12" s="9">
        <v>1</v>
      </c>
      <c r="K12" s="10" t="str">
        <f t="shared" ref="K12:K16" si="0">IF($D12&lt;&gt;"yes","",IF($J12="","",$E12*$J12))</f>
        <v/>
      </c>
      <c r="L12" s="9" t="s">
        <v>123</v>
      </c>
    </row>
    <row r="13" spans="1:15" x14ac:dyDescent="0.25">
      <c r="A13" s="9"/>
      <c r="B13" s="9"/>
      <c r="C13" s="9" t="s">
        <v>44</v>
      </c>
      <c r="D13" s="9" t="s">
        <v>72</v>
      </c>
      <c r="E13" s="10">
        <v>4000</v>
      </c>
      <c r="F13" s="9"/>
      <c r="G13" s="9" t="s">
        <v>0</v>
      </c>
      <c r="H13" s="9" t="b">
        <v>0</v>
      </c>
      <c r="I13" s="9" t="s">
        <v>104</v>
      </c>
      <c r="J13" s="9">
        <v>1</v>
      </c>
      <c r="K13" s="10" t="str">
        <f t="shared" si="0"/>
        <v/>
      </c>
      <c r="L13" s="9" t="s">
        <v>124</v>
      </c>
    </row>
    <row r="14" spans="1:15" x14ac:dyDescent="0.25">
      <c r="A14" s="9"/>
      <c r="B14" s="9"/>
      <c r="C14" s="9" t="s">
        <v>6</v>
      </c>
      <c r="D14" s="9" t="s">
        <v>72</v>
      </c>
      <c r="E14" s="10">
        <v>3500</v>
      </c>
      <c r="F14" s="9"/>
      <c r="G14" s="9" t="s">
        <v>0</v>
      </c>
      <c r="H14" s="9" t="b">
        <v>0</v>
      </c>
      <c r="I14" s="9" t="s">
        <v>104</v>
      </c>
      <c r="J14" s="9">
        <v>1</v>
      </c>
      <c r="K14" s="10" t="str">
        <f t="shared" si="0"/>
        <v/>
      </c>
      <c r="L14" s="9" t="s">
        <v>125</v>
      </c>
    </row>
    <row r="15" spans="1:15" x14ac:dyDescent="0.25">
      <c r="A15" s="9"/>
      <c r="B15" s="9"/>
      <c r="C15" s="9" t="s">
        <v>45</v>
      </c>
      <c r="D15" s="9" t="s">
        <v>72</v>
      </c>
      <c r="E15" s="10">
        <v>2500</v>
      </c>
      <c r="F15" s="9"/>
      <c r="G15" s="9" t="s">
        <v>0</v>
      </c>
      <c r="H15" s="9" t="b">
        <v>0</v>
      </c>
      <c r="I15" s="9" t="s">
        <v>104</v>
      </c>
      <c r="J15" s="9">
        <v>1</v>
      </c>
      <c r="K15" s="10" t="str">
        <f t="shared" si="0"/>
        <v/>
      </c>
      <c r="L15" s="9" t="s">
        <v>126</v>
      </c>
    </row>
    <row r="16" spans="1:15" x14ac:dyDescent="0.25">
      <c r="A16" s="9"/>
      <c r="B16" s="9"/>
      <c r="C16" s="9" t="s">
        <v>46</v>
      </c>
      <c r="D16" s="9" t="s">
        <v>72</v>
      </c>
      <c r="E16" s="10">
        <v>10000</v>
      </c>
      <c r="F16" s="9"/>
      <c r="G16" s="9" t="s">
        <v>0</v>
      </c>
      <c r="H16" s="9" t="b">
        <v>0</v>
      </c>
      <c r="I16" s="9" t="s">
        <v>104</v>
      </c>
      <c r="J16" s="9">
        <v>1</v>
      </c>
      <c r="K16" s="10" t="str">
        <f t="shared" si="0"/>
        <v/>
      </c>
      <c r="L16" s="9" t="s">
        <v>127</v>
      </c>
    </row>
    <row r="17" spans="1:12" x14ac:dyDescent="0.25">
      <c r="A17" s="5"/>
      <c r="B17" s="5" t="s">
        <v>47</v>
      </c>
      <c r="C17" s="5"/>
      <c r="D17" s="5"/>
      <c r="E17" s="5"/>
      <c r="F17" s="5"/>
      <c r="G17" s="5"/>
      <c r="H17" s="5"/>
      <c r="I17" s="5"/>
      <c r="J17" s="5"/>
      <c r="K17" s="7"/>
      <c r="L17" s="5"/>
    </row>
    <row r="18" spans="1:12" x14ac:dyDescent="0.25">
      <c r="A18" s="6"/>
      <c r="B18" s="6"/>
      <c r="C18" s="6"/>
      <c r="D18" s="6"/>
      <c r="E18" s="6" t="s">
        <v>38</v>
      </c>
      <c r="F18" s="6"/>
      <c r="G18" s="6"/>
      <c r="H18" s="6"/>
      <c r="I18" s="6"/>
      <c r="J18" s="6"/>
      <c r="K18" s="8"/>
      <c r="L18" s="6" t="s">
        <v>163</v>
      </c>
    </row>
    <row r="19" spans="1:12" x14ac:dyDescent="0.25">
      <c r="A19" s="5"/>
      <c r="B19" s="5" t="s">
        <v>8</v>
      </c>
      <c r="C19" s="5"/>
      <c r="D19" s="5"/>
      <c r="E19" s="5"/>
      <c r="F19" s="5"/>
      <c r="G19" s="5"/>
      <c r="H19" s="5"/>
      <c r="I19" s="5"/>
      <c r="J19" s="5"/>
      <c r="K19" s="7"/>
      <c r="L19" s="5"/>
    </row>
    <row r="20" spans="1:12" x14ac:dyDescent="0.25">
      <c r="A20" s="11"/>
      <c r="B20" s="11"/>
      <c r="C20" s="11" t="s">
        <v>48</v>
      </c>
      <c r="D20" s="11" t="s">
        <v>73</v>
      </c>
      <c r="E20" s="12">
        <v>1500</v>
      </c>
      <c r="F20" s="11"/>
      <c r="G20" s="11" t="s">
        <v>0</v>
      </c>
      <c r="H20" s="11" t="b">
        <v>1</v>
      </c>
      <c r="I20" s="11" t="s">
        <v>104</v>
      </c>
      <c r="J20" s="11">
        <v>1</v>
      </c>
      <c r="K20" s="12">
        <f>IF($D20&lt;&gt;"yes","",IF($J20="","",$E20*$J20))</f>
        <v>1500</v>
      </c>
      <c r="L20" s="11" t="s">
        <v>8</v>
      </c>
    </row>
    <row r="21" spans="1:12" x14ac:dyDescent="0.25">
      <c r="A21" s="5"/>
      <c r="B21" s="5" t="s">
        <v>9</v>
      </c>
      <c r="C21" s="5"/>
      <c r="D21" s="5"/>
      <c r="E21" s="5"/>
      <c r="F21" s="5"/>
      <c r="G21" s="5"/>
      <c r="H21" s="5"/>
      <c r="I21" s="5"/>
      <c r="J21" s="5"/>
      <c r="K21" s="7"/>
      <c r="L21" s="5"/>
    </row>
    <row r="22" spans="1:12" x14ac:dyDescent="0.25">
      <c r="A22" s="9"/>
      <c r="B22" s="9"/>
      <c r="C22" s="9" t="s">
        <v>9</v>
      </c>
      <c r="D22" s="9" t="s">
        <v>72</v>
      </c>
      <c r="E22" s="10">
        <v>500</v>
      </c>
      <c r="F22" s="9" t="s">
        <v>10</v>
      </c>
      <c r="G22" s="9" t="s">
        <v>0</v>
      </c>
      <c r="H22" s="9" t="b">
        <v>0</v>
      </c>
      <c r="I22" s="9" t="s">
        <v>105</v>
      </c>
      <c r="J22" s="9"/>
      <c r="K22" s="10" t="str">
        <f>IF($D22&lt;&gt;"yes","",IF($J22="","",$E22*$J22))</f>
        <v/>
      </c>
      <c r="L22" s="9" t="s">
        <v>9</v>
      </c>
    </row>
    <row r="23" spans="1:12" x14ac:dyDescent="0.25">
      <c r="A23" s="9"/>
      <c r="B23" s="9"/>
      <c r="C23" s="9" t="s">
        <v>11</v>
      </c>
      <c r="D23" s="9" t="s">
        <v>72</v>
      </c>
      <c r="E23" s="10">
        <v>1000</v>
      </c>
      <c r="F23" s="9" t="s">
        <v>12</v>
      </c>
      <c r="G23" s="9" t="s">
        <v>0</v>
      </c>
      <c r="H23" s="9" t="b">
        <v>0</v>
      </c>
      <c r="I23" s="9" t="s">
        <v>106</v>
      </c>
      <c r="J23" s="9"/>
      <c r="K23" s="10" t="str">
        <f>IF($D23&lt;&gt;"yes","",IF($J23="","",$E23*$J23))</f>
        <v/>
      </c>
      <c r="L23" s="9" t="s">
        <v>128</v>
      </c>
    </row>
    <row r="24" spans="1:12" x14ac:dyDescent="0.25">
      <c r="A24" s="5"/>
      <c r="B24" s="5" t="s">
        <v>49</v>
      </c>
      <c r="C24" s="5"/>
      <c r="D24" s="5"/>
      <c r="E24" s="5"/>
      <c r="F24" s="5"/>
      <c r="G24" s="5"/>
      <c r="H24" s="5"/>
      <c r="I24" s="5"/>
      <c r="J24" s="5"/>
      <c r="K24" s="7"/>
      <c r="L24" s="5"/>
    </row>
    <row r="25" spans="1:12" x14ac:dyDescent="0.25">
      <c r="A25" s="6"/>
      <c r="B25" s="6"/>
      <c r="C25" s="6"/>
      <c r="D25" s="6" t="s">
        <v>72</v>
      </c>
      <c r="E25" s="8" t="s">
        <v>38</v>
      </c>
      <c r="F25" s="6"/>
      <c r="G25" s="6"/>
      <c r="H25" s="6"/>
      <c r="I25" s="6"/>
      <c r="J25" s="6"/>
      <c r="K25" s="8"/>
      <c r="L25" s="6" t="s">
        <v>49</v>
      </c>
    </row>
    <row r="26" spans="1:12" x14ac:dyDescent="0.25">
      <c r="A26" s="5"/>
      <c r="B26" s="5" t="s">
        <v>14</v>
      </c>
      <c r="C26" s="5"/>
      <c r="D26" s="5"/>
      <c r="E26" s="5"/>
      <c r="F26" s="5"/>
      <c r="G26" s="5"/>
      <c r="H26" s="5"/>
      <c r="I26" s="5"/>
      <c r="J26" s="5"/>
      <c r="K26" s="7"/>
      <c r="L26" s="5"/>
    </row>
    <row r="27" spans="1:12" x14ac:dyDescent="0.25">
      <c r="A27" s="6"/>
      <c r="B27" s="6"/>
      <c r="C27" s="6"/>
      <c r="D27" s="6" t="s">
        <v>72</v>
      </c>
      <c r="E27" s="6" t="s">
        <v>38</v>
      </c>
      <c r="F27" s="6"/>
      <c r="G27" s="6"/>
      <c r="H27" s="6"/>
      <c r="I27" s="6"/>
      <c r="J27" s="6"/>
      <c r="K27" s="8"/>
      <c r="L27" s="6" t="s">
        <v>14</v>
      </c>
    </row>
    <row r="28" spans="1:12" x14ac:dyDescent="0.25">
      <c r="A28" s="5"/>
      <c r="B28" s="5" t="s">
        <v>50</v>
      </c>
      <c r="C28" s="5"/>
      <c r="D28" s="5"/>
      <c r="E28" s="5"/>
      <c r="F28" s="5"/>
      <c r="G28" s="5"/>
      <c r="H28" s="5"/>
      <c r="I28" s="5"/>
      <c r="J28" s="5"/>
      <c r="K28" s="7"/>
      <c r="L28" s="5"/>
    </row>
    <row r="29" spans="1:12" x14ac:dyDescent="0.25">
      <c r="A29" s="6"/>
      <c r="B29" s="6"/>
      <c r="C29" s="6"/>
      <c r="D29" s="6" t="s">
        <v>72</v>
      </c>
      <c r="E29" s="6" t="s">
        <v>38</v>
      </c>
      <c r="F29" s="6"/>
      <c r="G29" s="6"/>
      <c r="H29" s="6"/>
      <c r="I29" s="6"/>
      <c r="J29" s="6"/>
      <c r="K29" s="8"/>
      <c r="L29" s="6" t="s">
        <v>50</v>
      </c>
    </row>
    <row r="30" spans="1:12" x14ac:dyDescent="0.25">
      <c r="A30" s="5"/>
      <c r="B30" s="5" t="s">
        <v>51</v>
      </c>
      <c r="C30" s="5"/>
      <c r="D30" s="5"/>
      <c r="E30" s="5"/>
      <c r="F30" s="5"/>
      <c r="G30" s="5"/>
      <c r="H30" s="5"/>
      <c r="I30" s="5"/>
      <c r="J30" s="5"/>
      <c r="K30" s="7"/>
      <c r="L30" s="5"/>
    </row>
    <row r="31" spans="1:12" x14ac:dyDescent="0.25">
      <c r="A31" s="11"/>
      <c r="B31" s="11"/>
      <c r="C31" s="11" t="s">
        <v>36</v>
      </c>
      <c r="D31" s="11" t="s">
        <v>73</v>
      </c>
      <c r="E31" s="12">
        <v>500</v>
      </c>
      <c r="F31" s="11"/>
      <c r="G31" s="11" t="s">
        <v>0</v>
      </c>
      <c r="H31" s="11" t="b">
        <v>1</v>
      </c>
      <c r="I31" s="11" t="s">
        <v>104</v>
      </c>
      <c r="J31" s="11">
        <v>1</v>
      </c>
      <c r="K31" s="12">
        <f>IF($D31&lt;&gt;"yes","",IF($J31="","",$E31*$J31))</f>
        <v>500</v>
      </c>
      <c r="L31" s="11" t="s">
        <v>129</v>
      </c>
    </row>
    <row r="32" spans="1:12" x14ac:dyDescent="0.25">
      <c r="A32" s="9"/>
      <c r="B32" s="9"/>
      <c r="C32" s="9" t="s">
        <v>15</v>
      </c>
      <c r="D32" s="9" t="s">
        <v>72</v>
      </c>
      <c r="E32" s="10">
        <v>2000</v>
      </c>
      <c r="F32" s="9"/>
      <c r="G32" s="9" t="s">
        <v>0</v>
      </c>
      <c r="H32" s="9" t="b">
        <v>0</v>
      </c>
      <c r="I32" s="9" t="s">
        <v>104</v>
      </c>
      <c r="J32" s="9">
        <v>1</v>
      </c>
      <c r="K32" s="10" t="str">
        <f>IF($D32&lt;&gt;"yes","",IF($J32="","",$E32*$J32))</f>
        <v/>
      </c>
      <c r="L32" s="9" t="s">
        <v>130</v>
      </c>
    </row>
    <row r="33" spans="1:12" x14ac:dyDescent="0.25">
      <c r="A33" s="5"/>
      <c r="B33" s="5" t="s">
        <v>52</v>
      </c>
      <c r="C33" s="5"/>
      <c r="D33" s="5"/>
      <c r="E33" s="5"/>
      <c r="F33" s="5"/>
      <c r="G33" s="5"/>
      <c r="H33" s="5"/>
      <c r="I33" s="5"/>
      <c r="J33" s="5"/>
      <c r="K33" s="7"/>
      <c r="L33" s="5"/>
    </row>
    <row r="34" spans="1:12" x14ac:dyDescent="0.25">
      <c r="A34" s="6"/>
      <c r="B34" s="6"/>
      <c r="C34" s="6"/>
      <c r="D34" s="6" t="s">
        <v>72</v>
      </c>
      <c r="E34" s="6" t="s">
        <v>38</v>
      </c>
      <c r="F34" s="6"/>
      <c r="G34" s="6"/>
      <c r="H34" s="6"/>
      <c r="I34" s="6"/>
      <c r="J34" s="6"/>
      <c r="K34" s="8"/>
      <c r="L34" s="6" t="s">
        <v>164</v>
      </c>
    </row>
    <row r="35" spans="1:12" x14ac:dyDescent="0.25">
      <c r="A35" s="5"/>
      <c r="B35" s="5" t="s">
        <v>53</v>
      </c>
      <c r="C35" s="5"/>
      <c r="D35" s="5"/>
      <c r="E35" s="5"/>
      <c r="F35" s="5"/>
      <c r="G35" s="5"/>
      <c r="H35" s="5"/>
      <c r="I35" s="5"/>
      <c r="J35" s="5"/>
      <c r="K35" s="7"/>
      <c r="L35" s="5"/>
    </row>
    <row r="36" spans="1:12" x14ac:dyDescent="0.25">
      <c r="A36" s="6"/>
      <c r="B36" s="6"/>
      <c r="C36" s="6"/>
      <c r="D36" s="6" t="s">
        <v>72</v>
      </c>
      <c r="E36" s="6" t="s">
        <v>38</v>
      </c>
      <c r="F36" s="6"/>
      <c r="G36" s="6"/>
      <c r="H36" s="6"/>
      <c r="I36" s="6"/>
      <c r="J36" s="6"/>
      <c r="K36" s="8"/>
      <c r="L36" s="6" t="s">
        <v>53</v>
      </c>
    </row>
    <row r="37" spans="1:12" x14ac:dyDescent="0.25">
      <c r="A37" s="5"/>
      <c r="B37" s="5" t="s">
        <v>54</v>
      </c>
      <c r="C37" s="5"/>
      <c r="D37" s="5"/>
      <c r="E37" s="5"/>
      <c r="F37" s="5"/>
      <c r="G37" s="5"/>
      <c r="H37" s="5"/>
      <c r="I37" s="5"/>
      <c r="J37" s="5"/>
      <c r="K37" s="7"/>
      <c r="L37" s="5"/>
    </row>
    <row r="38" spans="1:12" x14ac:dyDescent="0.25">
      <c r="A38" s="9"/>
      <c r="B38" s="9"/>
      <c r="C38" s="9" t="s">
        <v>16</v>
      </c>
      <c r="D38" s="9" t="s">
        <v>72</v>
      </c>
      <c r="E38" s="10">
        <v>9500</v>
      </c>
      <c r="F38" s="9"/>
      <c r="G38" s="9" t="s">
        <v>0</v>
      </c>
      <c r="H38" s="9" t="b">
        <v>0</v>
      </c>
      <c r="I38" s="9" t="s">
        <v>104</v>
      </c>
      <c r="J38" s="9">
        <v>1</v>
      </c>
      <c r="K38" s="10" t="str">
        <f>IF($D38&lt;&gt;"yes","",IF($J38="","",$E38*$J38))</f>
        <v/>
      </c>
      <c r="L38" s="9" t="s">
        <v>131</v>
      </c>
    </row>
    <row r="39" spans="1:12" x14ac:dyDescent="0.25">
      <c r="A39" s="9"/>
      <c r="B39" s="9"/>
      <c r="C39" s="9" t="s">
        <v>17</v>
      </c>
      <c r="D39" s="9" t="s">
        <v>72</v>
      </c>
      <c r="E39" s="10">
        <v>5000</v>
      </c>
      <c r="F39" s="9"/>
      <c r="G39" s="9" t="s">
        <v>0</v>
      </c>
      <c r="H39" s="9" t="b">
        <v>0</v>
      </c>
      <c r="I39" s="9" t="s">
        <v>104</v>
      </c>
      <c r="J39" s="9">
        <v>1</v>
      </c>
      <c r="K39" s="10" t="str">
        <f>IF($D39&lt;&gt;"yes","",IF($J39="","",$E39*$J39))</f>
        <v/>
      </c>
      <c r="L39" s="9" t="s">
        <v>132</v>
      </c>
    </row>
    <row r="40" spans="1:12" x14ac:dyDescent="0.25">
      <c r="A40" s="9"/>
      <c r="B40" s="9"/>
      <c r="C40" s="9" t="s">
        <v>219</v>
      </c>
      <c r="D40" s="9" t="s">
        <v>72</v>
      </c>
      <c r="E40" s="10">
        <v>1000</v>
      </c>
      <c r="F40" s="9"/>
      <c r="G40" s="9" t="s">
        <v>0</v>
      </c>
      <c r="H40" s="9" t="b">
        <v>0</v>
      </c>
      <c r="I40" s="9" t="s">
        <v>104</v>
      </c>
      <c r="J40" s="9">
        <v>1</v>
      </c>
      <c r="K40" s="10" t="str">
        <f>IF($D40&lt;&gt;"yes","",IF($J40="","",$E40*$J40))</f>
        <v/>
      </c>
      <c r="L40" s="9" t="s">
        <v>233</v>
      </c>
    </row>
    <row r="41" spans="1:12" x14ac:dyDescent="0.25">
      <c r="A41" s="5"/>
      <c r="B41" s="5" t="s">
        <v>55</v>
      </c>
      <c r="C41" s="5"/>
      <c r="D41" s="5"/>
      <c r="E41" s="5"/>
      <c r="F41" s="5"/>
      <c r="G41" s="5"/>
      <c r="H41" s="5"/>
      <c r="I41" s="5"/>
      <c r="J41" s="5"/>
      <c r="K41" s="7"/>
      <c r="L41" s="5"/>
    </row>
    <row r="42" spans="1:12" x14ac:dyDescent="0.25">
      <c r="A42" s="6"/>
      <c r="B42" s="6"/>
      <c r="C42" s="6"/>
      <c r="D42" s="6" t="s">
        <v>72</v>
      </c>
      <c r="E42" s="6" t="s">
        <v>38</v>
      </c>
      <c r="F42" s="6"/>
      <c r="G42" s="6"/>
      <c r="H42" s="6"/>
      <c r="I42" s="6"/>
      <c r="J42" s="6"/>
      <c r="K42" s="8"/>
      <c r="L42" s="6" t="s">
        <v>55</v>
      </c>
    </row>
    <row r="43" spans="1:12" x14ac:dyDescent="0.25">
      <c r="A43" s="5"/>
      <c r="B43" s="5" t="s">
        <v>18</v>
      </c>
      <c r="C43" s="5"/>
      <c r="D43" s="5"/>
      <c r="E43" s="5"/>
      <c r="F43" s="5"/>
      <c r="G43" s="5"/>
      <c r="H43" s="5"/>
      <c r="I43" s="5"/>
      <c r="J43" s="5"/>
      <c r="K43" s="7"/>
      <c r="L43" s="5"/>
    </row>
    <row r="44" spans="1:12" x14ac:dyDescent="0.25">
      <c r="A44" s="6"/>
      <c r="B44" s="6"/>
      <c r="C44" s="6"/>
      <c r="D44" s="6" t="s">
        <v>72</v>
      </c>
      <c r="E44" s="6" t="s">
        <v>38</v>
      </c>
      <c r="F44" s="6"/>
      <c r="G44" s="6"/>
      <c r="H44" s="6"/>
      <c r="I44" s="6"/>
      <c r="J44" s="6"/>
      <c r="K44" s="8"/>
      <c r="L44" s="6" t="s">
        <v>18</v>
      </c>
    </row>
    <row r="45" spans="1:12" x14ac:dyDescent="0.25">
      <c r="A45" s="5"/>
      <c r="B45" s="5" t="s">
        <v>19</v>
      </c>
      <c r="C45" s="5"/>
      <c r="D45" s="5"/>
      <c r="E45" s="5"/>
      <c r="F45" s="5"/>
      <c r="G45" s="5"/>
      <c r="H45" s="5"/>
      <c r="I45" s="5"/>
      <c r="J45" s="5"/>
      <c r="K45" s="7"/>
      <c r="L45" s="5"/>
    </row>
    <row r="46" spans="1:12" x14ac:dyDescent="0.25">
      <c r="A46" s="6"/>
      <c r="B46" s="6"/>
      <c r="C46" s="6"/>
      <c r="D46" s="6" t="s">
        <v>72</v>
      </c>
      <c r="E46" s="6" t="s">
        <v>38</v>
      </c>
      <c r="F46" s="6"/>
      <c r="G46" s="6"/>
      <c r="H46" s="6"/>
      <c r="I46" s="6"/>
      <c r="J46" s="6"/>
      <c r="K46" s="8"/>
      <c r="L46" s="6"/>
    </row>
    <row r="47" spans="1:12" x14ac:dyDescent="0.25">
      <c r="A47" s="13"/>
      <c r="B47" s="13" t="s">
        <v>56</v>
      </c>
      <c r="C47" s="13"/>
      <c r="D47" s="13"/>
      <c r="E47" s="13"/>
      <c r="F47" s="13"/>
      <c r="G47" s="13" t="s">
        <v>116</v>
      </c>
      <c r="H47" s="13"/>
      <c r="I47" s="13"/>
      <c r="J47" s="13"/>
      <c r="K47" s="14">
        <f>SUM(K4:K46)</f>
        <v>2000</v>
      </c>
      <c r="L47" s="13" t="s">
        <v>166</v>
      </c>
    </row>
    <row r="48" spans="1:12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6"/>
      <c r="L48" s="15"/>
    </row>
    <row r="49" spans="1:12" x14ac:dyDescent="0.25">
      <c r="A49" s="5"/>
      <c r="B49" s="5" t="s">
        <v>27</v>
      </c>
      <c r="C49" s="5"/>
      <c r="D49" s="5"/>
      <c r="E49" s="5"/>
      <c r="F49" s="5"/>
      <c r="G49" s="5"/>
      <c r="H49" s="5"/>
      <c r="I49" s="5"/>
      <c r="J49" s="5"/>
      <c r="K49" s="7"/>
      <c r="L49" s="5"/>
    </row>
    <row r="50" spans="1:12" x14ac:dyDescent="0.25">
      <c r="A50" s="11"/>
      <c r="B50" s="11"/>
      <c r="C50" s="11" t="s">
        <v>58</v>
      </c>
      <c r="D50" s="11" t="s">
        <v>73</v>
      </c>
      <c r="E50" s="12">
        <v>3500</v>
      </c>
      <c r="F50" s="11" t="s">
        <v>28</v>
      </c>
      <c r="G50" s="11" t="s">
        <v>107</v>
      </c>
      <c r="H50" s="11" t="b">
        <v>1</v>
      </c>
      <c r="I50" s="11" t="s">
        <v>108</v>
      </c>
      <c r="J50" s="11"/>
      <c r="K50" s="12" t="str">
        <f>IF($D50&lt;&gt;"yes","",IF($J50="","",$E50*$J50))</f>
        <v/>
      </c>
      <c r="L50" s="11" t="s">
        <v>27</v>
      </c>
    </row>
    <row r="51" spans="1:12" x14ac:dyDescent="0.25">
      <c r="A51" s="11"/>
      <c r="B51" s="11"/>
      <c r="C51" s="11" t="s">
        <v>225</v>
      </c>
      <c r="D51" s="11" t="s">
        <v>72</v>
      </c>
      <c r="E51" s="12">
        <v>5500</v>
      </c>
      <c r="F51" s="11" t="s">
        <v>28</v>
      </c>
      <c r="G51" s="11" t="s">
        <v>107</v>
      </c>
      <c r="H51" s="11" t="b">
        <v>0</v>
      </c>
      <c r="I51" s="11" t="s">
        <v>108</v>
      </c>
      <c r="J51" s="11"/>
      <c r="K51" s="12"/>
      <c r="L51" s="11" t="s">
        <v>230</v>
      </c>
    </row>
    <row r="52" spans="1:12" x14ac:dyDescent="0.25">
      <c r="A52" s="11"/>
      <c r="B52" s="11"/>
      <c r="C52" s="11" t="s">
        <v>226</v>
      </c>
      <c r="D52" s="11" t="s">
        <v>72</v>
      </c>
      <c r="E52" s="12">
        <v>1500</v>
      </c>
      <c r="F52" s="11" t="s">
        <v>28</v>
      </c>
      <c r="G52" s="11" t="s">
        <v>107</v>
      </c>
      <c r="H52" s="11" t="b">
        <v>0</v>
      </c>
      <c r="I52" s="11" t="s">
        <v>108</v>
      </c>
      <c r="J52" s="11"/>
      <c r="K52" s="12"/>
      <c r="L52" s="11" t="s">
        <v>231</v>
      </c>
    </row>
    <row r="53" spans="1:12" x14ac:dyDescent="0.25">
      <c r="A53" s="11"/>
      <c r="B53" s="11"/>
      <c r="C53" s="11" t="s">
        <v>227</v>
      </c>
      <c r="D53" s="11" t="s">
        <v>72</v>
      </c>
      <c r="E53" s="12">
        <v>500</v>
      </c>
      <c r="F53" s="11" t="s">
        <v>28</v>
      </c>
      <c r="G53" s="11" t="s">
        <v>107</v>
      </c>
      <c r="H53" s="11" t="b">
        <v>0</v>
      </c>
      <c r="I53" s="11" t="s">
        <v>108</v>
      </c>
      <c r="J53" s="11"/>
      <c r="K53" s="12"/>
      <c r="L53" s="11" t="s">
        <v>232</v>
      </c>
    </row>
    <row r="54" spans="1:12" x14ac:dyDescent="0.25">
      <c r="A54" s="5"/>
      <c r="B54" s="5" t="s">
        <v>57</v>
      </c>
      <c r="C54" s="5"/>
      <c r="D54" s="5"/>
      <c r="E54" s="5"/>
      <c r="F54" s="5"/>
      <c r="G54" s="5"/>
      <c r="H54" s="5"/>
      <c r="I54" s="5"/>
      <c r="J54" s="5"/>
      <c r="K54" s="7"/>
      <c r="L54" s="5"/>
    </row>
    <row r="55" spans="1:12" x14ac:dyDescent="0.25">
      <c r="A55" s="11"/>
      <c r="B55" s="11"/>
      <c r="C55" s="11" t="s">
        <v>96</v>
      </c>
      <c r="D55" s="11" t="s">
        <v>73</v>
      </c>
      <c r="E55" s="12">
        <v>50</v>
      </c>
      <c r="F55" s="11" t="s">
        <v>59</v>
      </c>
      <c r="G55" s="11" t="s">
        <v>107</v>
      </c>
      <c r="H55" s="11" t="b">
        <v>1</v>
      </c>
      <c r="I55" s="11" t="s">
        <v>109</v>
      </c>
      <c r="J55" s="11"/>
      <c r="K55" s="12" t="str">
        <f>IF($D55&lt;&gt;"yes","",IF($J55="","",$E55*$J55))</f>
        <v/>
      </c>
      <c r="L55" s="11" t="s">
        <v>133</v>
      </c>
    </row>
    <row r="56" spans="1:12" x14ac:dyDescent="0.25">
      <c r="A56" s="11"/>
      <c r="B56" s="11"/>
      <c r="C56" s="11" t="s">
        <v>61</v>
      </c>
      <c r="D56" s="11" t="s">
        <v>73</v>
      </c>
      <c r="E56" s="12">
        <v>50</v>
      </c>
      <c r="F56" s="11" t="s">
        <v>59</v>
      </c>
      <c r="G56" s="11" t="s">
        <v>107</v>
      </c>
      <c r="H56" s="11" t="b">
        <v>1</v>
      </c>
      <c r="I56" s="11" t="s">
        <v>109</v>
      </c>
      <c r="J56" s="11"/>
      <c r="K56" s="12" t="str">
        <f>IF($D56&lt;&gt;"yes","",IF($J56="","",$E56*$J56))</f>
        <v/>
      </c>
      <c r="L56" s="11" t="s">
        <v>134</v>
      </c>
    </row>
    <row r="57" spans="1:12" x14ac:dyDescent="0.25">
      <c r="A57" s="9"/>
      <c r="B57" s="9"/>
      <c r="C57" s="9" t="s">
        <v>60</v>
      </c>
      <c r="D57" s="9" t="s">
        <v>72</v>
      </c>
      <c r="E57" s="10">
        <v>200</v>
      </c>
      <c r="F57" s="9" t="s">
        <v>59</v>
      </c>
      <c r="G57" s="9" t="s">
        <v>107</v>
      </c>
      <c r="H57" s="9" t="b">
        <v>0</v>
      </c>
      <c r="I57" s="9" t="s">
        <v>109</v>
      </c>
      <c r="J57" s="9"/>
      <c r="K57" s="10" t="str">
        <f>IF($D57&lt;&gt;"yes","",IF($J57="","",$E57*$J57))</f>
        <v/>
      </c>
      <c r="L57" s="9" t="s">
        <v>135</v>
      </c>
    </row>
    <row r="58" spans="1:12" x14ac:dyDescent="0.25">
      <c r="A58" s="11"/>
      <c r="B58" s="11"/>
      <c r="C58" s="11" t="s">
        <v>62</v>
      </c>
      <c r="D58" s="11" t="s">
        <v>73</v>
      </c>
      <c r="E58" s="12">
        <v>750</v>
      </c>
      <c r="F58" s="11" t="s">
        <v>63</v>
      </c>
      <c r="G58" s="11" t="s">
        <v>107</v>
      </c>
      <c r="H58" s="11" t="b">
        <v>1</v>
      </c>
      <c r="I58" s="11" t="s">
        <v>110</v>
      </c>
      <c r="J58" s="11"/>
      <c r="K58" s="12" t="str">
        <f>IF($D58&lt;&gt;"yes","",IF($J58="","",$E58*$J58))</f>
        <v/>
      </c>
      <c r="L58" s="11" t="s">
        <v>136</v>
      </c>
    </row>
    <row r="59" spans="1:12" x14ac:dyDescent="0.25">
      <c r="A59" s="11"/>
      <c r="B59" s="11"/>
      <c r="C59" s="11" t="s">
        <v>218</v>
      </c>
      <c r="D59" s="11" t="s">
        <v>72</v>
      </c>
      <c r="E59" s="12">
        <v>500</v>
      </c>
      <c r="F59" s="11" t="s">
        <v>66</v>
      </c>
      <c r="G59" s="11" t="s">
        <v>107</v>
      </c>
      <c r="H59" s="11" t="b">
        <v>0</v>
      </c>
      <c r="I59" s="11" t="s">
        <v>111</v>
      </c>
      <c r="J59" s="11"/>
      <c r="K59" s="12" t="str">
        <f>IF($D59&lt;&gt;"yes","",IF($J59="","",$E59*$J59))</f>
        <v/>
      </c>
      <c r="L59" s="11" t="s">
        <v>234</v>
      </c>
    </row>
    <row r="60" spans="1:12" x14ac:dyDescent="0.25">
      <c r="A60" s="5"/>
      <c r="B60" s="5" t="s">
        <v>64</v>
      </c>
      <c r="C60" s="5"/>
      <c r="D60" s="5"/>
      <c r="E60" s="5"/>
      <c r="F60" s="5"/>
      <c r="G60" s="5"/>
      <c r="H60" s="5"/>
      <c r="I60" s="5"/>
      <c r="J60" s="5"/>
      <c r="K60" s="7"/>
      <c r="L60" s="5"/>
    </row>
    <row r="61" spans="1:12" x14ac:dyDescent="0.25">
      <c r="A61" s="11"/>
      <c r="B61" s="11"/>
      <c r="C61" s="12" t="s">
        <v>65</v>
      </c>
      <c r="D61" s="12" t="s">
        <v>73</v>
      </c>
      <c r="E61" s="12">
        <v>2500</v>
      </c>
      <c r="F61" s="11"/>
      <c r="G61" s="11" t="s">
        <v>107</v>
      </c>
      <c r="H61" s="11" t="b">
        <v>1</v>
      </c>
      <c r="I61" s="11" t="s">
        <v>104</v>
      </c>
      <c r="J61" s="11">
        <v>1</v>
      </c>
      <c r="K61" s="12">
        <f>IF($D61&lt;&gt;"yes","",IF($J61="","",$E61*$J61))</f>
        <v>2500</v>
      </c>
      <c r="L61" s="11" t="s">
        <v>137</v>
      </c>
    </row>
    <row r="62" spans="1:12" x14ac:dyDescent="0.25">
      <c r="A62" s="9"/>
      <c r="B62" s="9"/>
      <c r="C62" s="9" t="s">
        <v>67</v>
      </c>
      <c r="D62" s="9" t="s">
        <v>73</v>
      </c>
      <c r="E62" s="10">
        <v>250</v>
      </c>
      <c r="F62" s="9" t="s">
        <v>66</v>
      </c>
      <c r="G62" s="9" t="s">
        <v>107</v>
      </c>
      <c r="H62" s="9" t="b">
        <v>0</v>
      </c>
      <c r="I62" s="9" t="s">
        <v>111</v>
      </c>
      <c r="J62" s="9"/>
      <c r="K62" s="10" t="str">
        <f>IF($D62&lt;&gt;"yes","",IF($J62="","",$E62*$J62))</f>
        <v/>
      </c>
      <c r="L62" s="9" t="s">
        <v>138</v>
      </c>
    </row>
    <row r="63" spans="1:12" x14ac:dyDescent="0.25">
      <c r="A63" s="9"/>
      <c r="B63" s="9"/>
      <c r="C63" s="9" t="s">
        <v>216</v>
      </c>
      <c r="D63" s="9" t="s">
        <v>73</v>
      </c>
      <c r="E63" s="10">
        <v>2000</v>
      </c>
      <c r="F63" s="9"/>
      <c r="G63" s="9" t="s">
        <v>107</v>
      </c>
      <c r="H63" s="9" t="b">
        <v>0</v>
      </c>
      <c r="I63" s="9" t="s">
        <v>104</v>
      </c>
      <c r="J63" s="9"/>
      <c r="K63" s="10"/>
      <c r="L63" s="9" t="s">
        <v>235</v>
      </c>
    </row>
    <row r="64" spans="1:12" x14ac:dyDescent="0.25">
      <c r="A64" s="5"/>
      <c r="B64" s="5" t="s">
        <v>35</v>
      </c>
      <c r="C64" s="5"/>
      <c r="D64" s="5"/>
      <c r="E64" s="5"/>
      <c r="F64" s="5"/>
      <c r="G64" s="5"/>
      <c r="H64" s="5"/>
      <c r="I64" s="5"/>
      <c r="J64" s="5"/>
      <c r="K64" s="7"/>
      <c r="L64" s="5"/>
    </row>
    <row r="65" spans="1:12" x14ac:dyDescent="0.25">
      <c r="A65" s="9"/>
      <c r="B65" s="9"/>
      <c r="C65" s="9" t="s">
        <v>68</v>
      </c>
      <c r="D65" s="9" t="s">
        <v>72</v>
      </c>
      <c r="E65" s="10">
        <v>50</v>
      </c>
      <c r="F65" s="9" t="s">
        <v>25</v>
      </c>
      <c r="G65" s="9" t="s">
        <v>107</v>
      </c>
      <c r="H65" s="9" t="b">
        <v>0</v>
      </c>
      <c r="I65" s="9" t="s">
        <v>112</v>
      </c>
      <c r="J65" s="9"/>
      <c r="K65" s="10" t="str">
        <f>IF($D65&lt;&gt;"yes","",IF($J65="","",$E65*$J65))</f>
        <v/>
      </c>
      <c r="L65" s="9" t="s">
        <v>139</v>
      </c>
    </row>
    <row r="66" spans="1:12" x14ac:dyDescent="0.25">
      <c r="A66" s="5"/>
      <c r="B66" s="5" t="s">
        <v>30</v>
      </c>
      <c r="C66" s="5"/>
      <c r="D66" s="5"/>
      <c r="E66" s="5"/>
      <c r="F66" s="5"/>
      <c r="G66" s="5"/>
      <c r="H66" s="5"/>
      <c r="I66" s="5"/>
      <c r="J66" s="5"/>
      <c r="K66" s="7"/>
      <c r="L66" s="5"/>
    </row>
    <row r="67" spans="1:12" x14ac:dyDescent="0.25">
      <c r="A67" s="11"/>
      <c r="B67" s="11"/>
      <c r="C67" s="11" t="s">
        <v>69</v>
      </c>
      <c r="D67" s="11" t="s">
        <v>73</v>
      </c>
      <c r="E67" s="29">
        <v>4.5</v>
      </c>
      <c r="F67" s="11" t="s">
        <v>7</v>
      </c>
      <c r="G67" s="11" t="s">
        <v>107</v>
      </c>
      <c r="H67" s="11" t="b">
        <v>1</v>
      </c>
      <c r="I67" s="11" t="s">
        <v>113</v>
      </c>
      <c r="J67" s="11"/>
      <c r="K67" s="12" t="str">
        <f>IF($D67&lt;&gt;"yes","",IF($J67="","",$E67*$J67))</f>
        <v/>
      </c>
      <c r="L67" s="11" t="s">
        <v>140</v>
      </c>
    </row>
    <row r="68" spans="1:12" x14ac:dyDescent="0.25">
      <c r="A68" s="11"/>
      <c r="B68" s="11"/>
      <c r="C68" s="11" t="s">
        <v>224</v>
      </c>
      <c r="D68" s="11" t="s">
        <v>72</v>
      </c>
      <c r="E68" s="12">
        <v>3</v>
      </c>
      <c r="F68" s="11" t="s">
        <v>7</v>
      </c>
      <c r="G68" s="11" t="s">
        <v>107</v>
      </c>
      <c r="H68" s="11" t="b">
        <v>0</v>
      </c>
      <c r="I68" s="11" t="s">
        <v>113</v>
      </c>
      <c r="J68" s="11"/>
      <c r="K68" s="12"/>
      <c r="L68" s="11" t="s">
        <v>236</v>
      </c>
    </row>
    <row r="69" spans="1:12" x14ac:dyDescent="0.25">
      <c r="A69" s="5"/>
      <c r="B69" s="5" t="s">
        <v>70</v>
      </c>
      <c r="C69" s="5"/>
      <c r="D69" s="5"/>
      <c r="E69" s="5"/>
      <c r="F69" s="5"/>
      <c r="G69" s="5"/>
      <c r="H69" s="5"/>
      <c r="I69" s="5"/>
      <c r="J69" s="5"/>
      <c r="K69" s="7"/>
      <c r="L69" s="5"/>
    </row>
    <row r="70" spans="1:12" x14ac:dyDescent="0.25">
      <c r="A70" s="6"/>
      <c r="B70" s="6"/>
      <c r="C70" s="6"/>
      <c r="D70" s="6" t="s">
        <v>72</v>
      </c>
      <c r="E70" s="6" t="s">
        <v>38</v>
      </c>
      <c r="F70" s="6"/>
      <c r="G70" s="6"/>
      <c r="H70" s="6"/>
      <c r="I70" s="6"/>
      <c r="J70" s="6"/>
      <c r="K70" s="8"/>
      <c r="L70" s="6" t="s">
        <v>70</v>
      </c>
    </row>
    <row r="71" spans="1:12" x14ac:dyDescent="0.25">
      <c r="A71" s="5"/>
      <c r="B71" s="5" t="s">
        <v>23</v>
      </c>
      <c r="C71" s="5"/>
      <c r="D71" s="5"/>
      <c r="E71" s="5"/>
      <c r="F71" s="5"/>
      <c r="G71" s="5"/>
      <c r="H71" s="5"/>
      <c r="I71" s="5"/>
      <c r="J71" s="5"/>
      <c r="K71" s="7"/>
      <c r="L71" s="5"/>
    </row>
    <row r="72" spans="1:12" x14ac:dyDescent="0.25">
      <c r="A72" s="11"/>
      <c r="B72" s="11"/>
      <c r="C72" s="11" t="s">
        <v>74</v>
      </c>
      <c r="D72" s="11" t="s">
        <v>72</v>
      </c>
      <c r="E72" s="12">
        <v>1000</v>
      </c>
      <c r="F72" s="11" t="s">
        <v>29</v>
      </c>
      <c r="G72" s="11" t="s">
        <v>107</v>
      </c>
      <c r="H72" s="11" t="b">
        <v>1</v>
      </c>
      <c r="I72" s="11" t="s">
        <v>114</v>
      </c>
      <c r="J72" s="11"/>
      <c r="K72" s="12" t="str">
        <f>IF($D72&lt;&gt;"yes","",IF($J72="","",$E72*$J72))</f>
        <v/>
      </c>
      <c r="L72" s="11" t="s">
        <v>141</v>
      </c>
    </row>
    <row r="73" spans="1:12" x14ac:dyDescent="0.25">
      <c r="A73" s="11"/>
      <c r="B73" s="11"/>
      <c r="C73" s="11" t="s">
        <v>75</v>
      </c>
      <c r="D73" s="11" t="s">
        <v>72</v>
      </c>
      <c r="E73" s="12">
        <v>1500</v>
      </c>
      <c r="F73" s="11" t="s">
        <v>29</v>
      </c>
      <c r="G73" s="11" t="s">
        <v>107</v>
      </c>
      <c r="H73" s="11" t="b">
        <v>1</v>
      </c>
      <c r="I73" s="11" t="s">
        <v>114</v>
      </c>
      <c r="J73" s="11"/>
      <c r="K73" s="12" t="str">
        <f>IF($D73&lt;&gt;"yes","",IF($J73="","",$E73*$J73))</f>
        <v/>
      </c>
      <c r="L73" s="11" t="s">
        <v>142</v>
      </c>
    </row>
    <row r="74" spans="1:12" x14ac:dyDescent="0.25">
      <c r="A74" s="11"/>
      <c r="B74" s="11"/>
      <c r="C74" s="11" t="s">
        <v>76</v>
      </c>
      <c r="D74" s="11" t="s">
        <v>72</v>
      </c>
      <c r="E74" s="12">
        <v>500</v>
      </c>
      <c r="F74" s="11" t="s">
        <v>77</v>
      </c>
      <c r="G74" s="11" t="s">
        <v>107</v>
      </c>
      <c r="H74" s="11" t="b">
        <v>1</v>
      </c>
      <c r="I74" s="11" t="s">
        <v>115</v>
      </c>
      <c r="J74" s="11"/>
      <c r="K74" s="12" t="str">
        <f>IF($D74&lt;&gt;"yes","",IF($J74="","",$E74*$J74))</f>
        <v/>
      </c>
      <c r="L74" s="11" t="s">
        <v>143</v>
      </c>
    </row>
    <row r="75" spans="1:12" x14ac:dyDescent="0.25">
      <c r="A75" s="5"/>
      <c r="B75" s="5" t="s">
        <v>26</v>
      </c>
      <c r="C75" s="5"/>
      <c r="D75" s="5"/>
      <c r="E75" s="5"/>
      <c r="F75" s="5"/>
      <c r="G75" s="5"/>
      <c r="H75" s="5"/>
      <c r="I75" s="5"/>
      <c r="J75" s="5"/>
      <c r="K75" s="7"/>
      <c r="L75" s="5"/>
    </row>
    <row r="76" spans="1:12" x14ac:dyDescent="0.25">
      <c r="A76" s="11"/>
      <c r="B76" s="11"/>
      <c r="C76" s="11" t="s">
        <v>46</v>
      </c>
      <c r="D76" s="11" t="s">
        <v>73</v>
      </c>
      <c r="E76" s="12">
        <v>8500</v>
      </c>
      <c r="F76" s="11" t="s">
        <v>22</v>
      </c>
      <c r="G76" s="11" t="s">
        <v>107</v>
      </c>
      <c r="H76" s="11" t="b">
        <v>1</v>
      </c>
      <c r="I76" s="11" t="s">
        <v>103</v>
      </c>
      <c r="J76" s="11">
        <v>1</v>
      </c>
      <c r="K76" s="12">
        <f>IF($D76&lt;&gt;"yes","",IF($J76="","",$E76*$J76))</f>
        <v>8500</v>
      </c>
      <c r="L76" s="11" t="s">
        <v>144</v>
      </c>
    </row>
    <row r="77" spans="1:12" x14ac:dyDescent="0.25">
      <c r="A77" s="9"/>
      <c r="B77" s="9"/>
      <c r="C77" s="9" t="s">
        <v>78</v>
      </c>
      <c r="D77" s="9" t="s">
        <v>72</v>
      </c>
      <c r="E77" s="10">
        <v>2500</v>
      </c>
      <c r="F77" s="9" t="s">
        <v>22</v>
      </c>
      <c r="G77" s="9" t="s">
        <v>107</v>
      </c>
      <c r="H77" s="9" t="b">
        <v>0</v>
      </c>
      <c r="I77" s="9" t="s">
        <v>103</v>
      </c>
      <c r="J77" s="9">
        <v>1</v>
      </c>
      <c r="K77" s="10" t="str">
        <f>IF($D77&lt;&gt;"yes","",IF($J77="","",$E77*$J77))</f>
        <v/>
      </c>
      <c r="L77" s="9" t="s">
        <v>145</v>
      </c>
    </row>
    <row r="78" spans="1:12" x14ac:dyDescent="0.25">
      <c r="A78" s="9"/>
      <c r="B78" s="9"/>
      <c r="C78" s="9" t="s">
        <v>36</v>
      </c>
      <c r="D78" s="9" t="s">
        <v>72</v>
      </c>
      <c r="E78" s="10">
        <v>1500</v>
      </c>
      <c r="F78" s="9" t="s">
        <v>22</v>
      </c>
      <c r="G78" s="9" t="s">
        <v>107</v>
      </c>
      <c r="H78" s="9" t="b">
        <v>0</v>
      </c>
      <c r="I78" s="9" t="s">
        <v>103</v>
      </c>
      <c r="J78" s="9">
        <v>1</v>
      </c>
      <c r="K78" s="10" t="str">
        <f>IF($D78&lt;&gt;"yes","",IF($J78="","",$E78*$J78))</f>
        <v/>
      </c>
      <c r="L78" s="9" t="s">
        <v>146</v>
      </c>
    </row>
    <row r="79" spans="1:12" x14ac:dyDescent="0.25">
      <c r="A79" s="5"/>
      <c r="B79" s="5" t="s">
        <v>79</v>
      </c>
      <c r="C79" s="5"/>
      <c r="D79" s="5"/>
      <c r="E79" s="5"/>
      <c r="F79" s="5"/>
      <c r="G79" s="5"/>
      <c r="H79" s="5"/>
      <c r="I79" s="5"/>
      <c r="J79" s="5"/>
      <c r="K79" s="7"/>
      <c r="L79" s="5"/>
    </row>
    <row r="80" spans="1:12" x14ac:dyDescent="0.25">
      <c r="A80" s="11"/>
      <c r="B80" s="11"/>
      <c r="C80" s="11" t="s">
        <v>80</v>
      </c>
      <c r="D80" s="11" t="s">
        <v>73</v>
      </c>
      <c r="E80" s="12">
        <v>1500</v>
      </c>
      <c r="F80" s="11" t="s">
        <v>22</v>
      </c>
      <c r="G80" s="11" t="s">
        <v>107</v>
      </c>
      <c r="H80" s="11" t="b">
        <v>1</v>
      </c>
      <c r="I80" s="11" t="s">
        <v>103</v>
      </c>
      <c r="J80" s="11">
        <v>1</v>
      </c>
      <c r="K80" s="12">
        <f>IF($D80&lt;&gt;"yes","",IF($J80="","",$E80*$J80))</f>
        <v>1500</v>
      </c>
      <c r="L80" s="11" t="s">
        <v>147</v>
      </c>
    </row>
    <row r="81" spans="1:12" x14ac:dyDescent="0.25">
      <c r="A81" s="9"/>
      <c r="B81" s="9"/>
      <c r="C81" s="9" t="s">
        <v>81</v>
      </c>
      <c r="D81" s="9" t="s">
        <v>72</v>
      </c>
      <c r="E81" s="10">
        <v>3500</v>
      </c>
      <c r="F81" s="9" t="s">
        <v>22</v>
      </c>
      <c r="G81" s="9" t="s">
        <v>107</v>
      </c>
      <c r="H81" s="9" t="b">
        <v>0</v>
      </c>
      <c r="I81" s="9" t="s">
        <v>103</v>
      </c>
      <c r="J81" s="9">
        <v>1</v>
      </c>
      <c r="K81" s="10" t="str">
        <f>IF($D81&lt;&gt;"yes","",IF($J81="","",$E81*$J81))</f>
        <v/>
      </c>
      <c r="L81" s="9" t="s">
        <v>148</v>
      </c>
    </row>
    <row r="82" spans="1:12" x14ac:dyDescent="0.25">
      <c r="A82" s="9"/>
      <c r="B82" s="9"/>
      <c r="C82" s="9" t="s">
        <v>82</v>
      </c>
      <c r="D82" s="9" t="s">
        <v>72</v>
      </c>
      <c r="E82" s="10">
        <v>5500</v>
      </c>
      <c r="F82" s="9" t="s">
        <v>22</v>
      </c>
      <c r="G82" s="9" t="s">
        <v>107</v>
      </c>
      <c r="H82" s="9" t="b">
        <v>0</v>
      </c>
      <c r="I82" s="9" t="s">
        <v>103</v>
      </c>
      <c r="J82" s="9">
        <v>1</v>
      </c>
      <c r="K82" s="10" t="str">
        <f>IF($D82&lt;&gt;"yes","",IF($J82="","",$E82*$J82))</f>
        <v/>
      </c>
      <c r="L82" s="9" t="s">
        <v>149</v>
      </c>
    </row>
    <row r="83" spans="1:12" x14ac:dyDescent="0.25">
      <c r="A83" s="5"/>
      <c r="B83" s="5" t="s">
        <v>83</v>
      </c>
      <c r="C83" s="5"/>
      <c r="D83" s="5"/>
      <c r="E83" s="5"/>
      <c r="F83" s="5"/>
      <c r="G83" s="5"/>
      <c r="H83" s="5"/>
      <c r="I83" s="5"/>
      <c r="J83" s="5"/>
      <c r="K83" s="7"/>
      <c r="L83" s="5"/>
    </row>
    <row r="84" spans="1:12" x14ac:dyDescent="0.25">
      <c r="A84" s="9"/>
      <c r="B84" s="9"/>
      <c r="C84" s="9" t="s">
        <v>95</v>
      </c>
      <c r="D84" s="9" t="s">
        <v>72</v>
      </c>
      <c r="E84" s="10">
        <v>7500</v>
      </c>
      <c r="F84" s="9" t="s">
        <v>22</v>
      </c>
      <c r="G84" s="9" t="s">
        <v>107</v>
      </c>
      <c r="H84" s="9" t="b">
        <v>0</v>
      </c>
      <c r="I84" s="9" t="s">
        <v>103</v>
      </c>
      <c r="J84" s="9">
        <v>1</v>
      </c>
      <c r="K84" s="10" t="str">
        <f>IF($D84&lt;&gt;"yes","",IF($J84="","",$E84*$J84))</f>
        <v/>
      </c>
      <c r="L84" s="9" t="s">
        <v>150</v>
      </c>
    </row>
    <row r="85" spans="1:12" x14ac:dyDescent="0.25">
      <c r="A85" s="11"/>
      <c r="B85" s="11"/>
      <c r="C85" s="11" t="s">
        <v>94</v>
      </c>
      <c r="D85" s="11" t="s">
        <v>73</v>
      </c>
      <c r="E85" s="12">
        <v>10000</v>
      </c>
      <c r="F85" s="11" t="s">
        <v>22</v>
      </c>
      <c r="G85" s="11" t="s">
        <v>107</v>
      </c>
      <c r="H85" s="11" t="b">
        <v>1</v>
      </c>
      <c r="I85" s="11" t="s">
        <v>103</v>
      </c>
      <c r="J85" s="11">
        <v>1</v>
      </c>
      <c r="K85" s="12">
        <f>IF($D85&lt;&gt;"yes","",IF($J85="","",$E85*$J85))</f>
        <v>10000</v>
      </c>
      <c r="L85" s="11" t="s">
        <v>151</v>
      </c>
    </row>
    <row r="86" spans="1:12" x14ac:dyDescent="0.25">
      <c r="A86" s="5"/>
      <c r="B86" s="5" t="s">
        <v>31</v>
      </c>
      <c r="C86" s="5"/>
      <c r="D86" s="5"/>
      <c r="E86" s="5"/>
      <c r="F86" s="5"/>
      <c r="G86" s="5"/>
      <c r="H86" s="5"/>
      <c r="I86" s="5"/>
      <c r="J86" s="5"/>
      <c r="K86" s="7"/>
      <c r="L86" s="5"/>
    </row>
    <row r="87" spans="1:12" x14ac:dyDescent="0.25">
      <c r="A87" s="11"/>
      <c r="B87" s="11"/>
      <c r="C87" s="11" t="s">
        <v>84</v>
      </c>
      <c r="D87" s="11" t="s">
        <v>73</v>
      </c>
      <c r="E87" s="12">
        <v>2</v>
      </c>
      <c r="F87" s="11" t="s">
        <v>7</v>
      </c>
      <c r="G87" s="11" t="s">
        <v>107</v>
      </c>
      <c r="H87" s="11" t="b">
        <v>1</v>
      </c>
      <c r="I87" s="11" t="s">
        <v>113</v>
      </c>
      <c r="J87" s="11"/>
      <c r="K87" s="12" t="str">
        <f>IF($D87&lt;&gt;"yes","",IF($J87="","",$E87*$J87))</f>
        <v/>
      </c>
      <c r="L87" s="11" t="s">
        <v>152</v>
      </c>
    </row>
    <row r="88" spans="1:12" x14ac:dyDescent="0.25">
      <c r="A88" s="11"/>
      <c r="B88" s="11"/>
      <c r="C88" s="11" t="s">
        <v>85</v>
      </c>
      <c r="D88" s="11" t="s">
        <v>73</v>
      </c>
      <c r="E88" s="12">
        <v>2</v>
      </c>
      <c r="F88" s="11" t="s">
        <v>7</v>
      </c>
      <c r="G88" s="11" t="s">
        <v>107</v>
      </c>
      <c r="H88" s="11" t="b">
        <v>1</v>
      </c>
      <c r="I88" s="11" t="s">
        <v>113</v>
      </c>
      <c r="J88" s="11"/>
      <c r="K88" s="12" t="str">
        <f>IF($D88&lt;&gt;"yes","",IF($J88="","",$E88*$J88))</f>
        <v/>
      </c>
      <c r="L88" s="11" t="s">
        <v>153</v>
      </c>
    </row>
    <row r="89" spans="1:12" x14ac:dyDescent="0.25">
      <c r="A89" s="11"/>
      <c r="B89" s="11"/>
      <c r="C89" s="11" t="s">
        <v>217</v>
      </c>
      <c r="D89" s="11" t="s">
        <v>72</v>
      </c>
      <c r="E89" s="29">
        <v>1.5</v>
      </c>
      <c r="F89" s="11" t="s">
        <v>7</v>
      </c>
      <c r="G89" s="11" t="s">
        <v>107</v>
      </c>
      <c r="H89" s="11" t="b">
        <v>0</v>
      </c>
      <c r="I89" s="11" t="s">
        <v>113</v>
      </c>
      <c r="J89" s="11"/>
      <c r="K89" s="12" t="str">
        <f>IF($D89&lt;&gt;"yes","",IF($J89="","",$E89*$J89))</f>
        <v/>
      </c>
      <c r="L89" s="11" t="s">
        <v>228</v>
      </c>
    </row>
    <row r="90" spans="1:12" x14ac:dyDescent="0.25">
      <c r="A90" s="11"/>
      <c r="B90" s="11"/>
      <c r="C90" s="11" t="s">
        <v>229</v>
      </c>
      <c r="D90" s="11" t="s">
        <v>72</v>
      </c>
      <c r="E90" s="29">
        <v>1.5</v>
      </c>
      <c r="F90" s="11" t="s">
        <v>7</v>
      </c>
      <c r="G90" s="11" t="s">
        <v>107</v>
      </c>
      <c r="H90" s="11" t="b">
        <v>0</v>
      </c>
      <c r="I90" s="11" t="s">
        <v>113</v>
      </c>
      <c r="J90" s="11"/>
      <c r="K90" s="12" t="str">
        <f>IF($D90&lt;&gt;"yes","",IF($J90="","",$E90*$J90))</f>
        <v/>
      </c>
      <c r="L90" s="11" t="s">
        <v>239</v>
      </c>
    </row>
    <row r="91" spans="1:12" x14ac:dyDescent="0.25">
      <c r="A91" s="5"/>
      <c r="B91" s="5" t="s">
        <v>13</v>
      </c>
      <c r="C91" s="5"/>
      <c r="D91" s="5"/>
      <c r="E91" s="5"/>
      <c r="F91" s="5"/>
      <c r="G91" s="5"/>
      <c r="H91" s="5"/>
      <c r="I91" s="5"/>
      <c r="J91" s="5"/>
      <c r="K91" s="7"/>
      <c r="L91" s="5"/>
    </row>
    <row r="92" spans="1:12" x14ac:dyDescent="0.25">
      <c r="A92" s="6"/>
      <c r="B92" s="6"/>
      <c r="C92" s="6"/>
      <c r="D92" s="6" t="s">
        <v>72</v>
      </c>
      <c r="E92" s="6" t="s">
        <v>38</v>
      </c>
      <c r="F92" s="6"/>
      <c r="G92" s="6"/>
      <c r="H92" s="6"/>
      <c r="I92" s="6"/>
      <c r="J92" s="6"/>
      <c r="K92" s="8"/>
      <c r="L92" s="6" t="s">
        <v>20</v>
      </c>
    </row>
    <row r="93" spans="1:12" x14ac:dyDescent="0.25">
      <c r="A93" s="5"/>
      <c r="B93" s="5" t="s">
        <v>19</v>
      </c>
      <c r="C93" s="5"/>
      <c r="D93" s="5"/>
      <c r="E93" s="5"/>
      <c r="F93" s="5"/>
      <c r="G93" s="5"/>
      <c r="H93" s="5"/>
      <c r="I93" s="5"/>
      <c r="J93" s="5"/>
      <c r="K93" s="7"/>
      <c r="L93" s="5"/>
    </row>
    <row r="94" spans="1:12" x14ac:dyDescent="0.25">
      <c r="A94" s="5"/>
      <c r="B94" s="5"/>
      <c r="C94" s="26" t="s">
        <v>220</v>
      </c>
      <c r="D94" s="26" t="s">
        <v>72</v>
      </c>
      <c r="E94" s="27">
        <v>15</v>
      </c>
      <c r="F94" s="26" t="s">
        <v>221</v>
      </c>
      <c r="G94" s="26" t="s">
        <v>107</v>
      </c>
      <c r="H94" s="26" t="b">
        <v>0</v>
      </c>
      <c r="I94" s="26" t="s">
        <v>113</v>
      </c>
      <c r="J94" s="26"/>
      <c r="K94" s="27"/>
      <c r="L94" s="26" t="s">
        <v>237</v>
      </c>
    </row>
    <row r="95" spans="1:12" x14ac:dyDescent="0.25">
      <c r="A95" s="6"/>
      <c r="B95" s="6"/>
      <c r="C95" s="6"/>
      <c r="D95" s="6" t="s">
        <v>72</v>
      </c>
      <c r="E95" s="6" t="s">
        <v>38</v>
      </c>
      <c r="F95" s="6"/>
      <c r="G95" s="6"/>
      <c r="H95" s="6"/>
      <c r="I95" s="6"/>
      <c r="J95" s="6"/>
      <c r="K95" s="8"/>
      <c r="L95" s="6" t="s">
        <v>165</v>
      </c>
    </row>
    <row r="96" spans="1:12" x14ac:dyDescent="0.25">
      <c r="A96" s="13"/>
      <c r="B96" s="13" t="s">
        <v>56</v>
      </c>
      <c r="C96" s="13"/>
      <c r="D96" s="13"/>
      <c r="E96" s="13"/>
      <c r="F96" s="13"/>
      <c r="G96" s="13" t="s">
        <v>117</v>
      </c>
      <c r="H96" s="13"/>
      <c r="I96" s="13"/>
      <c r="J96" s="13"/>
      <c r="K96" s="14">
        <f>SUM(K48:K95)</f>
        <v>22500</v>
      </c>
      <c r="L96" s="13" t="s">
        <v>167</v>
      </c>
    </row>
    <row r="97" spans="1:12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6"/>
      <c r="L97" s="15"/>
    </row>
    <row r="98" spans="1:12" x14ac:dyDescent="0.25">
      <c r="A98" s="5"/>
      <c r="B98" s="5" t="s">
        <v>21</v>
      </c>
      <c r="C98" s="5"/>
      <c r="D98" s="5"/>
      <c r="E98" s="5"/>
      <c r="F98" s="5"/>
      <c r="G98" s="5"/>
      <c r="H98" s="5"/>
      <c r="I98" s="5"/>
      <c r="J98" s="5"/>
      <c r="K98" s="7"/>
      <c r="L98" s="5"/>
    </row>
    <row r="99" spans="1:12" x14ac:dyDescent="0.25">
      <c r="A99" s="11"/>
      <c r="B99" s="11"/>
      <c r="C99" s="11" t="s">
        <v>86</v>
      </c>
      <c r="D99" s="11" t="s">
        <v>73</v>
      </c>
      <c r="E99" s="12">
        <v>1850</v>
      </c>
      <c r="F99" s="11"/>
      <c r="G99" s="11" t="s">
        <v>24</v>
      </c>
      <c r="H99" s="11" t="b">
        <v>1</v>
      </c>
      <c r="I99" s="11" t="s">
        <v>104</v>
      </c>
      <c r="J99" s="11">
        <v>1</v>
      </c>
      <c r="K99" s="12">
        <f>IF($D99&lt;&gt;"yes","",IF($J99="","",$E99*$J99))</f>
        <v>1850</v>
      </c>
      <c r="L99" s="11" t="s">
        <v>154</v>
      </c>
    </row>
    <row r="100" spans="1:12" x14ac:dyDescent="0.25">
      <c r="A100" s="9"/>
      <c r="B100" s="9"/>
      <c r="C100" s="9" t="s">
        <v>87</v>
      </c>
      <c r="D100" s="9" t="s">
        <v>72</v>
      </c>
      <c r="E100" s="10">
        <v>3500</v>
      </c>
      <c r="F100" s="9"/>
      <c r="G100" s="9" t="s">
        <v>24</v>
      </c>
      <c r="H100" s="9" t="b">
        <v>0</v>
      </c>
      <c r="I100" s="9" t="s">
        <v>104</v>
      </c>
      <c r="J100" s="9">
        <v>1</v>
      </c>
      <c r="K100" s="10" t="str">
        <f>IF($D100&lt;&gt;"yes","",IF($J100="","",$E100*$J100))</f>
        <v/>
      </c>
      <c r="L100" s="9" t="s">
        <v>155</v>
      </c>
    </row>
    <row r="101" spans="1:12" x14ac:dyDescent="0.25">
      <c r="A101" s="9"/>
      <c r="B101" s="9"/>
      <c r="C101" s="9" t="s">
        <v>88</v>
      </c>
      <c r="D101" s="9" t="s">
        <v>72</v>
      </c>
      <c r="E101" s="10">
        <v>4000</v>
      </c>
      <c r="F101" s="9"/>
      <c r="G101" s="9" t="s">
        <v>24</v>
      </c>
      <c r="H101" s="9" t="b">
        <v>0</v>
      </c>
      <c r="I101" s="9" t="s">
        <v>104</v>
      </c>
      <c r="J101" s="9">
        <v>1</v>
      </c>
      <c r="K101" s="10" t="str">
        <f>IF($D101&lt;&gt;"yes","",IF($J101="","",$E101*$J101))</f>
        <v/>
      </c>
      <c r="L101" s="9" t="s">
        <v>156</v>
      </c>
    </row>
    <row r="102" spans="1:12" x14ac:dyDescent="0.25">
      <c r="A102" s="9"/>
      <c r="B102" s="9"/>
      <c r="C102" s="9" t="s">
        <v>89</v>
      </c>
      <c r="D102" s="9" t="s">
        <v>72</v>
      </c>
      <c r="E102" s="10">
        <v>5000</v>
      </c>
      <c r="F102" s="9"/>
      <c r="G102" s="9" t="s">
        <v>24</v>
      </c>
      <c r="H102" s="9" t="b">
        <v>0</v>
      </c>
      <c r="I102" s="9" t="s">
        <v>104</v>
      </c>
      <c r="J102" s="9">
        <v>1</v>
      </c>
      <c r="K102" s="10" t="str">
        <f>IF($D102&lt;&gt;"yes","",IF($J102="","",$E102*$J102))</f>
        <v/>
      </c>
      <c r="L102" s="9" t="s">
        <v>157</v>
      </c>
    </row>
    <row r="103" spans="1:12" x14ac:dyDescent="0.25">
      <c r="A103" s="5"/>
      <c r="B103" s="5" t="s">
        <v>32</v>
      </c>
      <c r="C103" s="5"/>
      <c r="D103" s="5"/>
      <c r="E103" s="5"/>
      <c r="F103" s="5"/>
      <c r="G103" s="5"/>
      <c r="H103" s="5"/>
      <c r="I103" s="5"/>
      <c r="J103" s="5"/>
      <c r="K103" s="7"/>
      <c r="L103" s="5"/>
    </row>
    <row r="104" spans="1:12" x14ac:dyDescent="0.25">
      <c r="A104" s="11"/>
      <c r="B104" s="11"/>
      <c r="C104" s="11"/>
      <c r="D104" s="11" t="s">
        <v>73</v>
      </c>
      <c r="E104" s="12">
        <v>500</v>
      </c>
      <c r="F104" s="11" t="s">
        <v>22</v>
      </c>
      <c r="G104" s="11" t="s">
        <v>24</v>
      </c>
      <c r="H104" s="11" t="b">
        <v>1</v>
      </c>
      <c r="I104" s="11" t="s">
        <v>103</v>
      </c>
      <c r="J104" s="11">
        <v>1</v>
      </c>
      <c r="K104" s="12">
        <f>IF($D104&lt;&gt;"yes","",IF($J104="","",$E104*$J104))</f>
        <v>500</v>
      </c>
      <c r="L104" s="11" t="s">
        <v>32</v>
      </c>
    </row>
    <row r="105" spans="1:12" x14ac:dyDescent="0.25">
      <c r="A105" s="5"/>
      <c r="B105" s="5" t="s">
        <v>33</v>
      </c>
      <c r="C105" s="5"/>
      <c r="D105" s="5"/>
      <c r="E105" s="7"/>
      <c r="F105" s="5"/>
      <c r="G105" s="5"/>
      <c r="H105" s="5"/>
      <c r="I105" s="5"/>
      <c r="J105" s="5"/>
      <c r="K105" s="7"/>
      <c r="L105" s="5"/>
    </row>
    <row r="106" spans="1:12" x14ac:dyDescent="0.25">
      <c r="A106" s="11"/>
      <c r="B106" s="11"/>
      <c r="C106" s="11" t="s">
        <v>93</v>
      </c>
      <c r="D106" s="11" t="s">
        <v>72</v>
      </c>
      <c r="E106" s="12">
        <v>5000</v>
      </c>
      <c r="F106" s="11" t="s">
        <v>22</v>
      </c>
      <c r="G106" s="11" t="s">
        <v>24</v>
      </c>
      <c r="H106" s="11" t="b">
        <v>1</v>
      </c>
      <c r="I106" s="11" t="s">
        <v>103</v>
      </c>
      <c r="J106" s="11">
        <v>1</v>
      </c>
      <c r="K106" s="12" t="str">
        <f>IF($D106&lt;&gt;"yes","",IF($J106="","",$E106*$J106))</f>
        <v/>
      </c>
      <c r="L106" s="11" t="s">
        <v>158</v>
      </c>
    </row>
    <row r="107" spans="1:12" x14ac:dyDescent="0.25">
      <c r="A107" s="9"/>
      <c r="B107" s="9"/>
      <c r="C107" s="9" t="s">
        <v>222</v>
      </c>
      <c r="D107" s="9" t="s">
        <v>73</v>
      </c>
      <c r="E107" s="10">
        <v>3500</v>
      </c>
      <c r="F107" s="9" t="s">
        <v>22</v>
      </c>
      <c r="G107" s="9" t="s">
        <v>24</v>
      </c>
      <c r="H107" s="9" t="b">
        <v>0</v>
      </c>
      <c r="I107" s="9" t="s">
        <v>103</v>
      </c>
      <c r="J107" s="9">
        <v>1</v>
      </c>
      <c r="K107" s="10">
        <f>IF($D107&lt;&gt;"yes","",IF($J107="","",$E107*$J107))</f>
        <v>3500</v>
      </c>
      <c r="L107" s="9" t="s">
        <v>159</v>
      </c>
    </row>
    <row r="108" spans="1:12" x14ac:dyDescent="0.25">
      <c r="A108" s="9"/>
      <c r="B108" s="9"/>
      <c r="C108" s="9" t="s">
        <v>215</v>
      </c>
      <c r="D108" s="9" t="s">
        <v>72</v>
      </c>
      <c r="E108" s="10">
        <v>1000</v>
      </c>
      <c r="F108" s="9" t="s">
        <v>22</v>
      </c>
      <c r="G108" s="9" t="s">
        <v>24</v>
      </c>
      <c r="H108" s="9" t="b">
        <v>0</v>
      </c>
      <c r="I108" s="9" t="s">
        <v>103</v>
      </c>
      <c r="J108" s="9"/>
      <c r="K108" s="10"/>
      <c r="L108" s="9" t="s">
        <v>238</v>
      </c>
    </row>
    <row r="109" spans="1:12" x14ac:dyDescent="0.25">
      <c r="A109" s="5"/>
      <c r="B109" s="5" t="s">
        <v>34</v>
      </c>
      <c r="C109" s="5"/>
      <c r="D109" s="5"/>
      <c r="E109" s="5"/>
      <c r="F109" s="5"/>
      <c r="G109" s="5"/>
      <c r="H109" s="5"/>
      <c r="I109" s="5"/>
      <c r="J109" s="5"/>
      <c r="K109" s="7"/>
      <c r="L109" s="5"/>
    </row>
    <row r="110" spans="1:12" x14ac:dyDescent="0.25">
      <c r="A110" s="9"/>
      <c r="B110" s="9"/>
      <c r="C110" s="9" t="s">
        <v>90</v>
      </c>
      <c r="D110" s="9" t="s">
        <v>72</v>
      </c>
      <c r="E110" s="10">
        <v>2500</v>
      </c>
      <c r="F110" s="9" t="s">
        <v>22</v>
      </c>
      <c r="G110" s="9" t="s">
        <v>24</v>
      </c>
      <c r="H110" s="9" t="b">
        <v>0</v>
      </c>
      <c r="I110" s="9" t="s">
        <v>103</v>
      </c>
      <c r="J110" s="9">
        <v>1</v>
      </c>
      <c r="K110" s="10" t="str">
        <f>IF($D110&lt;&gt;"yes","",IF($J110="","",$E110*$J110))</f>
        <v/>
      </c>
      <c r="L110" s="9" t="s">
        <v>160</v>
      </c>
    </row>
    <row r="111" spans="1:12" x14ac:dyDescent="0.25">
      <c r="A111" s="11"/>
      <c r="B111" s="11"/>
      <c r="C111" s="11" t="s">
        <v>91</v>
      </c>
      <c r="D111" s="11" t="s">
        <v>72</v>
      </c>
      <c r="E111" s="12">
        <v>5000</v>
      </c>
      <c r="F111" s="11" t="s">
        <v>22</v>
      </c>
      <c r="G111" s="11" t="s">
        <v>24</v>
      </c>
      <c r="H111" s="11" t="b">
        <v>1</v>
      </c>
      <c r="I111" s="11" t="s">
        <v>103</v>
      </c>
      <c r="J111" s="11">
        <v>1</v>
      </c>
      <c r="K111" s="12" t="str">
        <f>IF($D111&lt;&gt;"yes","",IF($J111="","",$E111*$J111))</f>
        <v/>
      </c>
      <c r="L111" s="11" t="s">
        <v>161</v>
      </c>
    </row>
    <row r="112" spans="1:12" x14ac:dyDescent="0.25">
      <c r="A112" s="9"/>
      <c r="B112" s="9"/>
      <c r="C112" s="9" t="s">
        <v>92</v>
      </c>
      <c r="D112" s="9" t="s">
        <v>73</v>
      </c>
      <c r="E112" s="10">
        <v>550</v>
      </c>
      <c r="F112" s="9" t="s">
        <v>22</v>
      </c>
      <c r="G112" s="9" t="s">
        <v>24</v>
      </c>
      <c r="H112" s="9" t="b">
        <v>0</v>
      </c>
      <c r="I112" s="9" t="s">
        <v>103</v>
      </c>
      <c r="J112" s="9">
        <v>1</v>
      </c>
      <c r="K112" s="10">
        <f>IF($D112&lt;&gt;"yes","",IF($J112="","",$E112*$J112))</f>
        <v>550</v>
      </c>
      <c r="L112" s="9" t="s">
        <v>162</v>
      </c>
    </row>
    <row r="113" spans="1:12" x14ac:dyDescent="0.25">
      <c r="A113" s="5"/>
      <c r="B113" s="5" t="s">
        <v>19</v>
      </c>
      <c r="C113" s="5"/>
      <c r="D113" s="5"/>
      <c r="E113" s="7"/>
      <c r="F113" s="5"/>
      <c r="G113" s="5"/>
      <c r="H113" s="5"/>
      <c r="I113" s="5"/>
      <c r="J113" s="5"/>
      <c r="K113" s="7"/>
      <c r="L113" s="5"/>
    </row>
    <row r="114" spans="1:12" x14ac:dyDescent="0.25">
      <c r="A114" s="5"/>
      <c r="B114" s="5"/>
      <c r="C114" s="6" t="s">
        <v>223</v>
      </c>
      <c r="D114" s="6" t="s">
        <v>73</v>
      </c>
      <c r="E114" s="8">
        <v>300</v>
      </c>
      <c r="F114" s="6" t="s">
        <v>22</v>
      </c>
      <c r="G114" s="6" t="s">
        <v>24</v>
      </c>
      <c r="H114" s="6" t="b">
        <v>0</v>
      </c>
      <c r="I114" s="9" t="s">
        <v>103</v>
      </c>
      <c r="J114" s="6"/>
      <c r="K114" s="8"/>
      <c r="L114" s="6" t="s">
        <v>223</v>
      </c>
    </row>
    <row r="115" spans="1:12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</row>
    <row r="116" spans="1:12" x14ac:dyDescent="0.25">
      <c r="A116" s="13"/>
      <c r="B116" s="13" t="s">
        <v>118</v>
      </c>
      <c r="C116" s="13"/>
      <c r="D116" s="13"/>
      <c r="E116" s="13"/>
      <c r="F116" s="13"/>
      <c r="G116" s="13"/>
      <c r="H116" s="13"/>
      <c r="I116" s="13"/>
      <c r="J116" s="13"/>
      <c r="K116" s="14">
        <f>SUM(K97:K114)</f>
        <v>6400</v>
      </c>
      <c r="L116" s="13" t="s">
        <v>168</v>
      </c>
    </row>
    <row r="117" spans="1:12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</row>
    <row r="118" spans="1:12" x14ac:dyDescent="0.25">
      <c r="A118" s="17"/>
      <c r="B118" s="17" t="s">
        <v>119</v>
      </c>
      <c r="C118" s="17"/>
      <c r="D118" s="17"/>
      <c r="E118" s="17"/>
      <c r="F118" s="17"/>
      <c r="G118" s="17"/>
      <c r="H118" s="17"/>
      <c r="I118" s="17"/>
      <c r="J118" s="17"/>
      <c r="K118" s="18">
        <f>K47+K96+K116</f>
        <v>30900</v>
      </c>
      <c r="L118" s="17" t="s">
        <v>169</v>
      </c>
    </row>
  </sheetData>
  <mergeCells count="1">
    <mergeCell ref="N1:O1"/>
  </mergeCells>
  <phoneticPr fontId="7" type="noConversion"/>
  <conditionalFormatting sqref="A2:L118">
    <cfRule type="expression" dxfId="2" priority="1">
      <formula>ISNUMBER(SEARCH("Manual Entry",$E2))</formula>
    </cfRule>
    <cfRule type="expression" dxfId="1" priority="2">
      <formula>LOWER($D2)="yes"</formula>
    </cfRule>
    <cfRule type="expression" dxfId="0" priority="3">
      <formula>LOWER($D2)="no"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C1D8-421F-4E9E-983C-95B5047F3778}">
  <dimension ref="A1:A43"/>
  <sheetViews>
    <sheetView workbookViewId="0"/>
  </sheetViews>
  <sheetFormatPr defaultRowHeight="15" x14ac:dyDescent="0.25"/>
  <cols>
    <col min="1" max="1" width="114.28515625" customWidth="1"/>
  </cols>
  <sheetData>
    <row r="1" spans="1:1" ht="18.75" x14ac:dyDescent="0.3">
      <c r="A1" s="3" t="s">
        <v>170</v>
      </c>
    </row>
    <row r="2" spans="1:1" x14ac:dyDescent="0.25">
      <c r="A2" s="1" t="s">
        <v>172</v>
      </c>
    </row>
    <row r="3" spans="1:1" x14ac:dyDescent="0.25">
      <c r="A3" s="1" t="s">
        <v>171</v>
      </c>
    </row>
    <row r="4" spans="1:1" x14ac:dyDescent="0.25">
      <c r="A4" s="1" t="s">
        <v>172</v>
      </c>
    </row>
    <row r="5" spans="1:1" x14ac:dyDescent="0.25">
      <c r="A5" s="2" t="s">
        <v>173</v>
      </c>
    </row>
    <row r="6" spans="1:1" x14ac:dyDescent="0.25">
      <c r="A6" s="1" t="s">
        <v>174</v>
      </c>
    </row>
    <row r="7" spans="1:1" x14ac:dyDescent="0.25">
      <c r="A7" s="1" t="s">
        <v>175</v>
      </c>
    </row>
    <row r="8" spans="1:1" x14ac:dyDescent="0.25">
      <c r="A8" s="1" t="s">
        <v>176</v>
      </c>
    </row>
    <row r="9" spans="1:1" x14ac:dyDescent="0.25">
      <c r="A9" s="1" t="s">
        <v>177</v>
      </c>
    </row>
    <row r="10" spans="1:1" x14ac:dyDescent="0.25">
      <c r="A10" s="1" t="s">
        <v>178</v>
      </c>
    </row>
    <row r="11" spans="1:1" x14ac:dyDescent="0.25">
      <c r="A11" s="1" t="s">
        <v>172</v>
      </c>
    </row>
    <row r="12" spans="1:1" x14ac:dyDescent="0.25">
      <c r="A12" s="2" t="s">
        <v>179</v>
      </c>
    </row>
    <row r="13" spans="1:1" x14ac:dyDescent="0.25">
      <c r="A13" s="1" t="s">
        <v>180</v>
      </c>
    </row>
    <row r="14" spans="1:1" x14ac:dyDescent="0.25">
      <c r="A14" s="1" t="s">
        <v>181</v>
      </c>
    </row>
    <row r="15" spans="1:1" x14ac:dyDescent="0.25">
      <c r="A15" s="1" t="s">
        <v>182</v>
      </c>
    </row>
    <row r="16" spans="1:1" x14ac:dyDescent="0.25">
      <c r="A16" s="1" t="s">
        <v>183</v>
      </c>
    </row>
    <row r="17" spans="1:1" x14ac:dyDescent="0.25">
      <c r="A17" s="1" t="s">
        <v>184</v>
      </c>
    </row>
    <row r="18" spans="1:1" x14ac:dyDescent="0.25">
      <c r="A18" s="1" t="s">
        <v>185</v>
      </c>
    </row>
    <row r="19" spans="1:1" x14ac:dyDescent="0.25">
      <c r="A19" s="1" t="s">
        <v>186</v>
      </c>
    </row>
    <row r="20" spans="1:1" x14ac:dyDescent="0.25">
      <c r="A20" s="1" t="s">
        <v>187</v>
      </c>
    </row>
    <row r="21" spans="1:1" x14ac:dyDescent="0.25">
      <c r="A21" s="1" t="s">
        <v>188</v>
      </c>
    </row>
    <row r="22" spans="1:1" x14ac:dyDescent="0.25">
      <c r="A22" s="1" t="s">
        <v>189</v>
      </c>
    </row>
    <row r="23" spans="1:1" x14ac:dyDescent="0.25">
      <c r="A23" s="1" t="s">
        <v>190</v>
      </c>
    </row>
    <row r="24" spans="1:1" x14ac:dyDescent="0.25">
      <c r="A24" s="1" t="s">
        <v>172</v>
      </c>
    </row>
    <row r="25" spans="1:1" x14ac:dyDescent="0.25">
      <c r="A25" s="2" t="s">
        <v>191</v>
      </c>
    </row>
    <row r="26" spans="1:1" x14ac:dyDescent="0.25">
      <c r="A26" s="1" t="s">
        <v>192</v>
      </c>
    </row>
    <row r="27" spans="1:1" x14ac:dyDescent="0.25">
      <c r="A27" s="1" t="s">
        <v>193</v>
      </c>
    </row>
    <row r="28" spans="1:1" x14ac:dyDescent="0.25">
      <c r="A28" s="1" t="s">
        <v>194</v>
      </c>
    </row>
    <row r="29" spans="1:1" x14ac:dyDescent="0.25">
      <c r="A29" s="1" t="s">
        <v>195</v>
      </c>
    </row>
    <row r="30" spans="1:1" x14ac:dyDescent="0.25">
      <c r="A30" s="1" t="s">
        <v>196</v>
      </c>
    </row>
    <row r="31" spans="1:1" x14ac:dyDescent="0.25">
      <c r="A31" s="1" t="s">
        <v>172</v>
      </c>
    </row>
    <row r="32" spans="1:1" x14ac:dyDescent="0.25">
      <c r="A32" s="2" t="s">
        <v>197</v>
      </c>
    </row>
    <row r="33" spans="1:1" x14ac:dyDescent="0.25">
      <c r="A33" s="1" t="s">
        <v>198</v>
      </c>
    </row>
    <row r="34" spans="1:1" x14ac:dyDescent="0.25">
      <c r="A34" s="1" t="s">
        <v>199</v>
      </c>
    </row>
    <row r="35" spans="1:1" x14ac:dyDescent="0.25">
      <c r="A35" s="1" t="s">
        <v>172</v>
      </c>
    </row>
    <row r="36" spans="1:1" x14ac:dyDescent="0.25">
      <c r="A36" s="2" t="s">
        <v>200</v>
      </c>
    </row>
    <row r="37" spans="1:1" x14ac:dyDescent="0.25">
      <c r="A37" s="1" t="s">
        <v>201</v>
      </c>
    </row>
    <row r="38" spans="1:1" x14ac:dyDescent="0.25">
      <c r="A38" s="1" t="s">
        <v>202</v>
      </c>
    </row>
    <row r="39" spans="1:1" x14ac:dyDescent="0.25">
      <c r="A39" s="1" t="s">
        <v>203</v>
      </c>
    </row>
    <row r="40" spans="1:1" x14ac:dyDescent="0.25">
      <c r="A40" s="1" t="s">
        <v>204</v>
      </c>
    </row>
    <row r="41" spans="1:1" x14ac:dyDescent="0.25">
      <c r="A41" s="1" t="s">
        <v>172</v>
      </c>
    </row>
    <row r="42" spans="1:1" x14ac:dyDescent="0.25">
      <c r="A42" s="2" t="s">
        <v>205</v>
      </c>
    </row>
    <row r="43" spans="1:1" x14ac:dyDescent="0.25">
      <c r="A43" s="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Agent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Smith</dc:creator>
  <cp:lastModifiedBy>Tanner Smith</cp:lastModifiedBy>
  <dcterms:created xsi:type="dcterms:W3CDTF">2026-06-05T20:06:35Z</dcterms:created>
  <dcterms:modified xsi:type="dcterms:W3CDTF">2026-06-30T17:24:55Z</dcterms:modified>
</cp:coreProperties>
</file>